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FINALES EFICIENCIAS_MAR26" sheetId="1" r:id="rId4"/>
  </sheets>
  <definedNames>
    <definedName hidden="1" localSheetId="0" name="_xlnm._FilterDatabase">'DATOS FINALES EFICIENCIAS_MAR26'!$A$1:$AB$142</definedName>
  </definedNames>
  <calcPr/>
  <extLst>
    <ext uri="GoogleSheetsCustomDataVersion2">
      <go:sheetsCustomData xmlns:go="http://customooxmlschemas.google.com/" r:id="rId5" roundtripDataChecksum="MerIXfDQUgyxQ3YH7MXjLNdZ43nvRHAe2aVQ94b19g4="/>
    </ext>
  </extLst>
</workbook>
</file>

<file path=xl/sharedStrings.xml><?xml version="1.0" encoding="utf-8"?>
<sst xmlns="http://schemas.openxmlformats.org/spreadsheetml/2006/main" count="593" uniqueCount="90">
  <si>
    <t>Fecha</t>
  </si>
  <si>
    <t>Planta</t>
  </si>
  <si>
    <t>Linea</t>
  </si>
  <si>
    <t>Puesto_Trabajo</t>
  </si>
  <si>
    <t>Es_Ultimo_Puesto</t>
  </si>
  <si>
    <t>Cant._Prod._A1</t>
  </si>
  <si>
    <t>H.H._STD_UNIT.</t>
  </si>
  <si>
    <t>CANT._OPERARIOS</t>
  </si>
  <si>
    <t>HH_STD_TOTAL</t>
  </si>
  <si>
    <t>HH_Productivas</t>
  </si>
  <si>
    <t>HH_Productivas_C/GAP</t>
  </si>
  <si>
    <t>HH_Improductivas</t>
  </si>
  <si>
    <t>HH_Disponibles</t>
  </si>
  <si>
    <t>EF._Real_E1</t>
  </si>
  <si>
    <t>EF._Prod_F1</t>
  </si>
  <si>
    <t>Costo_Improd._$</t>
  </si>
  <si>
    <t>Personal</t>
  </si>
  <si>
    <t>ÁREA</t>
  </si>
  <si>
    <t>RASTRAS</t>
  </si>
  <si>
    <t>"SECTOR  ""ARM. PAQUETES"""</t>
  </si>
  <si>
    <t>NO</t>
  </si>
  <si>
    <t>"SECTOR  ""ARMADO FINAL 1"""</t>
  </si>
  <si>
    <t>SI</t>
  </si>
  <si>
    <t>"SECTOR  ""ARMADO FINAL 2"""</t>
  </si>
  <si>
    <t>"SECTOR  ""MED. PUNT.+ SOLD"""</t>
  </si>
  <si>
    <t>"SECTOR  ""BANDEJAS"""</t>
  </si>
  <si>
    <t>ANEXO REM. 1</t>
  </si>
  <si>
    <t>ACOP.+SEMIS</t>
  </si>
  <si>
    <t>444-PUNTEADO DE PUERTAS</t>
  </si>
  <si>
    <t>445-SOLDADO DE PUERTAS 1</t>
  </si>
  <si>
    <t>446-SOLDADO DE PUERTAS 2</t>
  </si>
  <si>
    <t>447-BARRALES+RINCONERAS</t>
  </si>
  <si>
    <t>448-PARANTES ACOP.+SEMIS</t>
  </si>
  <si>
    <t>449-FRENTES ACOP.+SEMIS</t>
  </si>
  <si>
    <t>450-CARROZADO 1 -ACOP.+SEMIS-</t>
  </si>
  <si>
    <t>PINTURA</t>
  </si>
  <si>
    <t>PREPARACIÓN</t>
  </si>
  <si>
    <t>460-Preparacion Maquinas Pintura</t>
  </si>
  <si>
    <t>451-CARROZADO 2 -ACOP.+SEMIS-</t>
  </si>
  <si>
    <t>TOLVAS CRV</t>
  </si>
  <si>
    <t>ARM. CARR. 1+2 CRV</t>
  </si>
  <si>
    <t>ARM. PLATAFORMA  CRV</t>
  </si>
  <si>
    <t>AVANTREN CRV</t>
  </si>
  <si>
    <t>BOX 1 CRV</t>
  </si>
  <si>
    <t>BOX 2 CRV</t>
  </si>
  <si>
    <t>BOX 3 CRV</t>
  </si>
  <si>
    <t>CHASIS CRV</t>
  </si>
  <si>
    <t>F/P/C/S CRV</t>
  </si>
  <si>
    <t>SECTOR SIN FINES</t>
  </si>
  <si>
    <t>CABINA PINTURA</t>
  </si>
  <si>
    <t>461-Cabina Pintura</t>
  </si>
  <si>
    <t>SECTOR TUBO DE DESCARGA 1 CRV</t>
  </si>
  <si>
    <t>SECTOR TUBO DE DESCARGA 2 CRV</t>
  </si>
  <si>
    <t>SECTOR TUBO DE DESCARGA 3 CRV</t>
  </si>
  <si>
    <t>443-PINTADO DE PUERTAS</t>
  </si>
  <si>
    <t>"SECTOR  ""GRANDES SOLD."""</t>
  </si>
  <si>
    <t>"SECTOR  ""PEQ. PUNT. + SOLD."""</t>
  </si>
  <si>
    <t>"SECTOR  ""PUNT. CHASIS + ALAS"""</t>
  </si>
  <si>
    <t>REMOLQUES</t>
  </si>
  <si>
    <t>BATEAS</t>
  </si>
  <si>
    <t>473-PUNTEADO LATERALES</t>
  </si>
  <si>
    <t>COLASO / GOMEZ</t>
  </si>
  <si>
    <t>473-SOLDADO LATERALES</t>
  </si>
  <si>
    <t>DÍAZ / NUÑEZ</t>
  </si>
  <si>
    <t>LAVADO</t>
  </si>
  <si>
    <t>Lavado P1</t>
  </si>
  <si>
    <t>LIMPIEZA</t>
  </si>
  <si>
    <t>Limpieza P1</t>
  </si>
  <si>
    <t>Limpieza P2</t>
  </si>
  <si>
    <t>Limpieza P3</t>
  </si>
  <si>
    <t>474-PUNTEADO PISO</t>
  </si>
  <si>
    <t>YLARY / LESANA</t>
  </si>
  <si>
    <t>474-SOLDADO PISO</t>
  </si>
  <si>
    <t>FARÍAS / LÓPEZ</t>
  </si>
  <si>
    <t>475-CARROZADO -PUNT./SOLD.-</t>
  </si>
  <si>
    <t>BARRIOS / CEJAS / IBAÑEZ / FERREYRA</t>
  </si>
  <si>
    <t>476-PUNT./SOLD. PECHO Y ESTAB.</t>
  </si>
  <si>
    <t>DIAZ GABRIEL</t>
  </si>
  <si>
    <t>478-PRE-ARMADO VIGAS CHASIS</t>
  </si>
  <si>
    <t>NUÑEZ GONZALO</t>
  </si>
  <si>
    <t>479-PUNT. CHASIS</t>
  </si>
  <si>
    <t>VILLALVA / PASCHETA</t>
  </si>
  <si>
    <t>479-SOLD. CHASIS + RETRACTRIL</t>
  </si>
  <si>
    <t>GONZALES / PAEZ</t>
  </si>
  <si>
    <t>479-MONTAJE CHASIS+EJES NUEM.</t>
  </si>
  <si>
    <t>480-ARMADO EJES</t>
  </si>
  <si>
    <t>LUNA / GIRINI</t>
  </si>
  <si>
    <t>480-MONTAJE CHASIS+EJES</t>
  </si>
  <si>
    <t>Limpieza P4</t>
  </si>
  <si>
    <t>SECTOR TERMINACION CRV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</si>
</sst>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b/>
      <sz val="10.0"/>
      <color theme="1"/>
      <name val="Arial"/>
    </font>
    <font>
      <b/>
      <sz val="11.0"/>
      <color rgb="FFFF0000"/>
      <name val="Arial"/>
    </font>
    <font>
      <sz val="10.0"/>
      <color theme="1"/>
      <name val="Arial"/>
    </font>
    <font>
      <b/>
      <sz val="10.0"/>
      <color rgb="FF002060"/>
      <name val="Arial"/>
    </font>
    <font>
      <sz val="10.0"/>
      <color rgb="FF002060"/>
      <name val="Arial"/>
    </font>
    <font>
      <sz val="14.0"/>
      <color theme="1"/>
      <name val="Arial"/>
    </font>
    <font>
      <b/>
      <u/>
      <sz val="10.0"/>
      <color theme="1"/>
      <name val="Arial"/>
    </font>
    <font>
      <sz val="10.0"/>
      <color rgb="FF000000"/>
      <name val="Arial"/>
    </font>
    <font>
      <sz val="10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17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2" xfId="0" applyAlignment="1" applyBorder="1" applyFont="1" applyNumberFormat="1">
      <alignment horizontal="right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wrapText="1"/>
    </xf>
    <xf borderId="2" fillId="0" fontId="5" numFmtId="17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5" numFmtId="2" xfId="0" applyAlignment="1" applyBorder="1" applyFont="1" applyNumberFormat="1">
      <alignment horizontal="right"/>
    </xf>
    <xf borderId="2" fillId="0" fontId="5" numFmtId="1" xfId="0" applyBorder="1" applyFont="1" applyNumberFormat="1"/>
    <xf borderId="2" fillId="0" fontId="5" numFmtId="2" xfId="0" applyAlignment="1" applyBorder="1" applyFont="1" applyNumberFormat="1">
      <alignment horizontal="center"/>
    </xf>
    <xf borderId="2" fillId="0" fontId="5" numFmtId="3" xfId="0" applyAlignment="1" applyBorder="1" applyFont="1" applyNumberFormat="1">
      <alignment horizontal="right"/>
    </xf>
    <xf borderId="0" fillId="0" fontId="5" numFmtId="0" xfId="0" applyAlignment="1" applyFont="1">
      <alignment horizontal="center"/>
    </xf>
    <xf borderId="2" fillId="0" fontId="3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2" fillId="0" fontId="5" numFmtId="0" xfId="0" applyAlignment="1" applyBorder="1" applyFont="1">
      <alignment horizontal="left"/>
    </xf>
    <xf borderId="0" fillId="0" fontId="8" numFmtId="0" xfId="0" applyAlignment="1" applyFont="1">
      <alignment horizontal="center" vertical="center"/>
    </xf>
    <xf borderId="2" fillId="0" fontId="9" numFmtId="0" xfId="0" applyAlignment="1" applyBorder="1" applyFont="1">
      <alignment horizontal="center"/>
    </xf>
    <xf borderId="2" fillId="3" fontId="5" numFmtId="0" xfId="0" applyAlignment="1" applyBorder="1" applyFill="1" applyFont="1">
      <alignment horizontal="center"/>
    </xf>
    <xf borderId="3" fillId="0" fontId="5" numFmtId="1" xfId="0" applyBorder="1" applyFont="1" applyNumberFormat="1"/>
    <xf borderId="3" fillId="0" fontId="3" numFmtId="0" xfId="0" applyAlignment="1" applyBorder="1" applyFont="1">
      <alignment horizontal="center"/>
    </xf>
    <xf borderId="0" fillId="0" fontId="5" numFmtId="17" xfId="0" applyAlignment="1" applyFont="1" applyNumberFormat="1">
      <alignment horizontal="center"/>
    </xf>
    <xf borderId="0" fillId="0" fontId="10" numFmtId="2" xfId="0" applyAlignment="1" applyFont="1" applyNumberFormat="1">
      <alignment horizontal="right"/>
    </xf>
    <xf borderId="0" fillId="0" fontId="5" numFmtId="0" xfId="0" applyFont="1"/>
    <xf borderId="0" fillId="0" fontId="11" numFmtId="0" xfId="0" applyAlignment="1" applyFont="1">
      <alignment horizontal="center"/>
    </xf>
    <xf borderId="0" fillId="0" fontId="10" numFmtId="0" xfId="0" applyFont="1"/>
    <xf borderId="0" fillId="0" fontId="5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0.5"/>
    <col customWidth="1" min="2" max="2" width="17.63"/>
    <col customWidth="1" min="3" max="3" width="15.88"/>
    <col customWidth="1" min="4" max="4" width="33.25"/>
    <col customWidth="1" min="5" max="5" width="11.0"/>
    <col customWidth="1" min="6" max="6" width="12.5"/>
    <col customWidth="1" min="7" max="7" width="15.13"/>
    <col customWidth="1" min="8" max="8" width="14.38"/>
    <col customWidth="1" min="9" max="9" width="13.13"/>
    <col customWidth="1" min="10" max="10" width="12.38"/>
    <col customWidth="1" min="11" max="11" width="16.25"/>
    <col customWidth="1" min="12" max="12" width="12.5"/>
    <col customWidth="1" min="13" max="13" width="17.5"/>
    <col customWidth="1" min="14" max="14" width="16.13"/>
    <col customWidth="1" min="15" max="15" width="15.63"/>
    <col customWidth="1" min="16" max="16" width="14.63"/>
    <col customWidth="1" min="17" max="17" width="37.63"/>
  </cols>
  <sheetData>
    <row r="1" ht="34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6" t="s">
        <v>15</v>
      </c>
      <c r="Q1" s="2" t="s">
        <v>16</v>
      </c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2.75" hidden="1" customHeight="1">
      <c r="A2" s="8">
        <v>45992.0</v>
      </c>
      <c r="B2" s="9" t="s">
        <v>17</v>
      </c>
      <c r="C2" s="9" t="s">
        <v>18</v>
      </c>
      <c r="D2" s="9" t="s">
        <v>19</v>
      </c>
      <c r="E2" s="9" t="s">
        <v>20</v>
      </c>
      <c r="F2" s="9">
        <v>5.0</v>
      </c>
      <c r="G2" s="10"/>
      <c r="H2" s="10"/>
      <c r="I2" s="11">
        <f t="shared" ref="I2:I3" si="1">(G2*F2)+0.25*F2</f>
        <v>1.25</v>
      </c>
      <c r="J2" s="9">
        <v>36.0</v>
      </c>
      <c r="K2" s="9">
        <f t="shared" ref="K2:K142" si="2">J2+ABS(M2-(J2+L2))</f>
        <v>46</v>
      </c>
      <c r="L2" s="9">
        <v>96.0</v>
      </c>
      <c r="M2" s="9">
        <v>142.0</v>
      </c>
      <c r="N2" s="12">
        <f t="shared" ref="N2:N142" si="3">+I2/M2</f>
        <v>0.008802816901</v>
      </c>
      <c r="O2" s="12">
        <f t="shared" ref="O2:O142" si="4">+I2/K2</f>
        <v>0.02717391304</v>
      </c>
      <c r="P2" s="13">
        <f t="shared" ref="P2:P142" si="5">+L2*22000</f>
        <v>2112000</v>
      </c>
      <c r="Q2" s="9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ht="12.75" hidden="1" customHeight="1">
      <c r="A3" s="8">
        <v>45992.0</v>
      </c>
      <c r="B3" s="9" t="s">
        <v>17</v>
      </c>
      <c r="C3" s="9" t="s">
        <v>18</v>
      </c>
      <c r="D3" s="9" t="s">
        <v>21</v>
      </c>
      <c r="E3" s="9" t="s">
        <v>22</v>
      </c>
      <c r="F3" s="9">
        <v>8.0</v>
      </c>
      <c r="G3" s="10"/>
      <c r="H3" s="10"/>
      <c r="I3" s="11">
        <f t="shared" si="1"/>
        <v>2</v>
      </c>
      <c r="J3" s="9">
        <v>57.0</v>
      </c>
      <c r="K3" s="9">
        <f t="shared" si="2"/>
        <v>119</v>
      </c>
      <c r="L3" s="9">
        <v>25.0</v>
      </c>
      <c r="M3" s="9">
        <v>144.0</v>
      </c>
      <c r="N3" s="12">
        <f t="shared" si="3"/>
        <v>0.01388888889</v>
      </c>
      <c r="O3" s="12">
        <f t="shared" si="4"/>
        <v>0.01680672269</v>
      </c>
      <c r="P3" s="13">
        <f t="shared" si="5"/>
        <v>550000</v>
      </c>
      <c r="Q3" s="9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ht="12.75" hidden="1" customHeight="1">
      <c r="A4" s="8">
        <v>46023.0</v>
      </c>
      <c r="B4" s="9" t="s">
        <v>17</v>
      </c>
      <c r="C4" s="9" t="s">
        <v>18</v>
      </c>
      <c r="D4" s="9" t="s">
        <v>21</v>
      </c>
      <c r="E4" s="9" t="s">
        <v>22</v>
      </c>
      <c r="F4" s="9">
        <v>3.0</v>
      </c>
      <c r="G4" s="10"/>
      <c r="H4" s="10"/>
      <c r="I4" s="11">
        <v>48.0</v>
      </c>
      <c r="J4" s="9">
        <v>34.0</v>
      </c>
      <c r="K4" s="9">
        <f t="shared" si="2"/>
        <v>113</v>
      </c>
      <c r="L4" s="9">
        <v>3.0</v>
      </c>
      <c r="M4" s="9">
        <v>116.0</v>
      </c>
      <c r="N4" s="12">
        <f t="shared" si="3"/>
        <v>0.4137931034</v>
      </c>
      <c r="O4" s="12">
        <f t="shared" si="4"/>
        <v>0.4247787611</v>
      </c>
      <c r="P4" s="13">
        <f t="shared" si="5"/>
        <v>66000</v>
      </c>
      <c r="Q4" s="9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ht="12.75" hidden="1" customHeight="1">
      <c r="A5" s="8">
        <v>45992.0</v>
      </c>
      <c r="B5" s="9" t="s">
        <v>17</v>
      </c>
      <c r="C5" s="9" t="s">
        <v>18</v>
      </c>
      <c r="D5" s="9" t="s">
        <v>23</v>
      </c>
      <c r="E5" s="9" t="s">
        <v>22</v>
      </c>
      <c r="F5" s="9">
        <v>5.0</v>
      </c>
      <c r="G5" s="10"/>
      <c r="H5" s="10"/>
      <c r="I5" s="11">
        <f>(G5*F5)+0.25*F5</f>
        <v>1.25</v>
      </c>
      <c r="J5" s="9">
        <v>235.0</v>
      </c>
      <c r="K5" s="9">
        <f t="shared" si="2"/>
        <v>252</v>
      </c>
      <c r="L5" s="9">
        <v>53.0</v>
      </c>
      <c r="M5" s="9">
        <v>305.0</v>
      </c>
      <c r="N5" s="12">
        <f t="shared" si="3"/>
        <v>0.004098360656</v>
      </c>
      <c r="O5" s="12">
        <f t="shared" si="4"/>
        <v>0.00496031746</v>
      </c>
      <c r="P5" s="13">
        <f t="shared" si="5"/>
        <v>1166000</v>
      </c>
      <c r="Q5" s="9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ht="12.75" hidden="1" customHeight="1">
      <c r="A6" s="8">
        <v>46023.0</v>
      </c>
      <c r="B6" s="9" t="s">
        <v>17</v>
      </c>
      <c r="C6" s="9" t="s">
        <v>18</v>
      </c>
      <c r="D6" s="9" t="s">
        <v>23</v>
      </c>
      <c r="E6" s="9" t="s">
        <v>22</v>
      </c>
      <c r="F6" s="9">
        <v>1.0</v>
      </c>
      <c r="G6" s="10"/>
      <c r="H6" s="10"/>
      <c r="I6" s="11">
        <v>0.0</v>
      </c>
      <c r="J6" s="9">
        <v>10.0</v>
      </c>
      <c r="K6" s="9">
        <f t="shared" si="2"/>
        <v>79</v>
      </c>
      <c r="L6" s="9">
        <v>74.0</v>
      </c>
      <c r="M6" s="9">
        <v>153.0</v>
      </c>
      <c r="N6" s="12">
        <f t="shared" si="3"/>
        <v>0</v>
      </c>
      <c r="O6" s="12">
        <f t="shared" si="4"/>
        <v>0</v>
      </c>
      <c r="P6" s="13">
        <f t="shared" si="5"/>
        <v>1628000</v>
      </c>
      <c r="Q6" s="9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ht="12.75" hidden="1" customHeight="1">
      <c r="A7" s="8">
        <v>45992.0</v>
      </c>
      <c r="B7" s="9" t="s">
        <v>17</v>
      </c>
      <c r="C7" s="9" t="s">
        <v>18</v>
      </c>
      <c r="D7" s="9" t="s">
        <v>24</v>
      </c>
      <c r="E7" s="9" t="s">
        <v>20</v>
      </c>
      <c r="F7" s="9">
        <v>17.0</v>
      </c>
      <c r="G7" s="10"/>
      <c r="H7" s="10"/>
      <c r="I7" s="11">
        <f t="shared" ref="I7:I8" si="6">(G7*F7)+0.25*F7</f>
        <v>4.25</v>
      </c>
      <c r="J7" s="9">
        <v>76.0</v>
      </c>
      <c r="K7" s="9">
        <f t="shared" si="2"/>
        <v>89</v>
      </c>
      <c r="L7" s="9">
        <v>36.0</v>
      </c>
      <c r="M7" s="9">
        <v>99.0</v>
      </c>
      <c r="N7" s="12">
        <f t="shared" si="3"/>
        <v>0.04292929293</v>
      </c>
      <c r="O7" s="12">
        <f t="shared" si="4"/>
        <v>0.04775280899</v>
      </c>
      <c r="P7" s="13">
        <f t="shared" si="5"/>
        <v>792000</v>
      </c>
      <c r="Q7" s="9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ht="12.75" hidden="1" customHeight="1">
      <c r="A8" s="8">
        <v>45992.0</v>
      </c>
      <c r="B8" s="9" t="s">
        <v>17</v>
      </c>
      <c r="C8" s="9" t="s">
        <v>18</v>
      </c>
      <c r="D8" s="9" t="s">
        <v>25</v>
      </c>
      <c r="E8" s="9" t="s">
        <v>20</v>
      </c>
      <c r="F8" s="9">
        <v>6.0</v>
      </c>
      <c r="G8" s="10"/>
      <c r="H8" s="10"/>
      <c r="I8" s="11">
        <f t="shared" si="6"/>
        <v>1.5</v>
      </c>
      <c r="J8" s="9">
        <v>60.0</v>
      </c>
      <c r="K8" s="9">
        <f t="shared" si="2"/>
        <v>93</v>
      </c>
      <c r="L8" s="9">
        <v>16.0</v>
      </c>
      <c r="M8" s="9">
        <v>109.0</v>
      </c>
      <c r="N8" s="12">
        <f t="shared" si="3"/>
        <v>0.01376146789</v>
      </c>
      <c r="O8" s="12">
        <f t="shared" si="4"/>
        <v>0.01612903226</v>
      </c>
      <c r="P8" s="13">
        <f t="shared" si="5"/>
        <v>352000</v>
      </c>
      <c r="Q8" s="9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ht="12.75" hidden="1" customHeight="1">
      <c r="A9" s="8">
        <v>46023.0</v>
      </c>
      <c r="B9" s="9" t="s">
        <v>17</v>
      </c>
      <c r="C9" s="9" t="s">
        <v>18</v>
      </c>
      <c r="D9" s="9" t="s">
        <v>25</v>
      </c>
      <c r="E9" s="9" t="s">
        <v>20</v>
      </c>
      <c r="F9" s="9">
        <v>5.0</v>
      </c>
      <c r="G9" s="10"/>
      <c r="H9" s="10"/>
      <c r="I9" s="11">
        <v>26.0</v>
      </c>
      <c r="J9" s="9">
        <v>45.0</v>
      </c>
      <c r="K9" s="9">
        <f t="shared" si="2"/>
        <v>78</v>
      </c>
      <c r="L9" s="9">
        <v>10.0</v>
      </c>
      <c r="M9" s="9">
        <v>88.0</v>
      </c>
      <c r="N9" s="12">
        <f t="shared" si="3"/>
        <v>0.2954545455</v>
      </c>
      <c r="O9" s="12">
        <f t="shared" si="4"/>
        <v>0.3333333333</v>
      </c>
      <c r="P9" s="13">
        <f t="shared" si="5"/>
        <v>220000</v>
      </c>
      <c r="Q9" s="9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ht="12.75" hidden="1" customHeight="1">
      <c r="A10" s="8">
        <v>45992.0</v>
      </c>
      <c r="B10" s="9" t="s">
        <v>26</v>
      </c>
      <c r="C10" s="9" t="s">
        <v>27</v>
      </c>
      <c r="D10" s="9" t="s">
        <v>28</v>
      </c>
      <c r="E10" s="9" t="s">
        <v>20</v>
      </c>
      <c r="F10" s="9">
        <v>20.0</v>
      </c>
      <c r="G10" s="10"/>
      <c r="H10" s="10">
        <v>1.0</v>
      </c>
      <c r="I10" s="11">
        <v>128.0</v>
      </c>
      <c r="J10" s="9">
        <v>154.0</v>
      </c>
      <c r="K10" s="9">
        <f t="shared" si="2"/>
        <v>164</v>
      </c>
      <c r="L10" s="9">
        <v>13.0</v>
      </c>
      <c r="M10" s="9">
        <v>177.0</v>
      </c>
      <c r="N10" s="12">
        <f t="shared" si="3"/>
        <v>0.7231638418</v>
      </c>
      <c r="O10" s="12">
        <f t="shared" si="4"/>
        <v>0.7804878049</v>
      </c>
      <c r="P10" s="13">
        <f t="shared" si="5"/>
        <v>286000</v>
      </c>
      <c r="Q10" s="9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ht="12.75" hidden="1" customHeight="1">
      <c r="A11" s="8">
        <v>45992.0</v>
      </c>
      <c r="B11" s="9" t="s">
        <v>26</v>
      </c>
      <c r="C11" s="9" t="s">
        <v>27</v>
      </c>
      <c r="D11" s="9" t="s">
        <v>29</v>
      </c>
      <c r="E11" s="9" t="s">
        <v>20</v>
      </c>
      <c r="F11" s="9">
        <v>14.0</v>
      </c>
      <c r="G11" s="10"/>
      <c r="H11" s="10">
        <v>1.0</v>
      </c>
      <c r="I11" s="11">
        <v>87.98</v>
      </c>
      <c r="J11" s="9">
        <v>111.0</v>
      </c>
      <c r="K11" s="9">
        <f t="shared" si="2"/>
        <v>135</v>
      </c>
      <c r="L11" s="9">
        <v>37.0</v>
      </c>
      <c r="M11" s="9">
        <v>172.0</v>
      </c>
      <c r="N11" s="12">
        <f t="shared" si="3"/>
        <v>0.5115116279</v>
      </c>
      <c r="O11" s="12">
        <f t="shared" si="4"/>
        <v>0.6517037037</v>
      </c>
      <c r="P11" s="13">
        <f t="shared" si="5"/>
        <v>814000</v>
      </c>
      <c r="Q11" s="9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ht="12.75" hidden="1" customHeight="1">
      <c r="A12" s="8">
        <v>45992.0</v>
      </c>
      <c r="B12" s="9" t="s">
        <v>26</v>
      </c>
      <c r="C12" s="9" t="s">
        <v>27</v>
      </c>
      <c r="D12" s="9" t="s">
        <v>30</v>
      </c>
      <c r="E12" s="9" t="s">
        <v>20</v>
      </c>
      <c r="F12" s="9">
        <v>10.0</v>
      </c>
      <c r="G12" s="10"/>
      <c r="H12" s="10">
        <v>1.0</v>
      </c>
      <c r="I12" s="11">
        <v>65.17</v>
      </c>
      <c r="J12" s="9">
        <v>111.0</v>
      </c>
      <c r="K12" s="9">
        <f t="shared" si="2"/>
        <v>126</v>
      </c>
      <c r="L12" s="9">
        <v>0.0</v>
      </c>
      <c r="M12" s="9">
        <v>96.0</v>
      </c>
      <c r="N12" s="12">
        <f t="shared" si="3"/>
        <v>0.6788541667</v>
      </c>
      <c r="O12" s="12">
        <f t="shared" si="4"/>
        <v>0.5172222222</v>
      </c>
      <c r="P12" s="13">
        <f t="shared" si="5"/>
        <v>0</v>
      </c>
      <c r="Q12" s="9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ht="12.75" hidden="1" customHeight="1">
      <c r="A13" s="8">
        <v>45992.0</v>
      </c>
      <c r="B13" s="9" t="s">
        <v>26</v>
      </c>
      <c r="C13" s="9" t="s">
        <v>27</v>
      </c>
      <c r="D13" s="9" t="s">
        <v>31</v>
      </c>
      <c r="E13" s="9" t="s">
        <v>20</v>
      </c>
      <c r="F13" s="9">
        <v>19.0</v>
      </c>
      <c r="G13" s="10"/>
      <c r="H13" s="10">
        <v>1.0</v>
      </c>
      <c r="I13" s="11">
        <v>61.75</v>
      </c>
      <c r="J13" s="9">
        <v>81.0</v>
      </c>
      <c r="K13" s="9">
        <f t="shared" si="2"/>
        <v>123</v>
      </c>
      <c r="L13" s="9">
        <v>23.0</v>
      </c>
      <c r="M13" s="9">
        <v>146.0</v>
      </c>
      <c r="N13" s="12">
        <f t="shared" si="3"/>
        <v>0.4229452055</v>
      </c>
      <c r="O13" s="12">
        <f t="shared" si="4"/>
        <v>0.5020325203</v>
      </c>
      <c r="P13" s="13">
        <f t="shared" si="5"/>
        <v>506000</v>
      </c>
      <c r="Q13" s="9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ht="12.75" hidden="1" customHeight="1">
      <c r="A14" s="8">
        <v>45992.0</v>
      </c>
      <c r="B14" s="9" t="s">
        <v>26</v>
      </c>
      <c r="C14" s="9" t="s">
        <v>27</v>
      </c>
      <c r="D14" s="9" t="s">
        <v>32</v>
      </c>
      <c r="E14" s="9" t="s">
        <v>20</v>
      </c>
      <c r="F14" s="9">
        <v>15.0</v>
      </c>
      <c r="G14" s="10"/>
      <c r="H14" s="10">
        <v>1.0</v>
      </c>
      <c r="I14" s="11">
        <v>38.4</v>
      </c>
      <c r="J14" s="9">
        <v>56.0</v>
      </c>
      <c r="K14" s="9">
        <f t="shared" si="2"/>
        <v>73</v>
      </c>
      <c r="L14" s="9">
        <v>23.0</v>
      </c>
      <c r="M14" s="9">
        <v>96.0</v>
      </c>
      <c r="N14" s="12">
        <f t="shared" si="3"/>
        <v>0.4</v>
      </c>
      <c r="O14" s="12">
        <f t="shared" si="4"/>
        <v>0.5260273973</v>
      </c>
      <c r="P14" s="13">
        <f t="shared" si="5"/>
        <v>506000</v>
      </c>
      <c r="Q14" s="9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ht="12.75" hidden="1" customHeight="1">
      <c r="A15" s="8">
        <v>45992.0</v>
      </c>
      <c r="B15" s="9" t="s">
        <v>26</v>
      </c>
      <c r="C15" s="9" t="s">
        <v>27</v>
      </c>
      <c r="D15" s="9" t="s">
        <v>33</v>
      </c>
      <c r="E15" s="9" t="s">
        <v>20</v>
      </c>
      <c r="F15" s="9">
        <v>17.0</v>
      </c>
      <c r="G15" s="10"/>
      <c r="H15" s="10">
        <v>1.0</v>
      </c>
      <c r="I15" s="11">
        <v>39.6</v>
      </c>
      <c r="J15" s="9">
        <v>42.0</v>
      </c>
      <c r="K15" s="9">
        <f t="shared" si="2"/>
        <v>52</v>
      </c>
      <c r="L15" s="9">
        <v>106.0</v>
      </c>
      <c r="M15" s="9">
        <v>158.0</v>
      </c>
      <c r="N15" s="12">
        <f t="shared" si="3"/>
        <v>0.2506329114</v>
      </c>
      <c r="O15" s="12">
        <f t="shared" si="4"/>
        <v>0.7615384615</v>
      </c>
      <c r="P15" s="13">
        <f t="shared" si="5"/>
        <v>2332000</v>
      </c>
      <c r="Q15" s="9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ht="12.75" hidden="1" customHeight="1">
      <c r="A16" s="8">
        <v>45992.0</v>
      </c>
      <c r="B16" s="9" t="s">
        <v>26</v>
      </c>
      <c r="C16" s="9" t="s">
        <v>27</v>
      </c>
      <c r="D16" s="9" t="s">
        <v>34</v>
      </c>
      <c r="E16" s="9" t="s">
        <v>22</v>
      </c>
      <c r="F16" s="9">
        <v>13.0</v>
      </c>
      <c r="G16" s="10"/>
      <c r="H16" s="10">
        <v>2.0</v>
      </c>
      <c r="I16" s="11">
        <v>237.23</v>
      </c>
      <c r="J16" s="9">
        <v>224.0</v>
      </c>
      <c r="K16" s="9">
        <f t="shared" si="2"/>
        <v>246</v>
      </c>
      <c r="L16" s="9">
        <v>66.0</v>
      </c>
      <c r="M16" s="9">
        <v>312.0</v>
      </c>
      <c r="N16" s="12">
        <f t="shared" si="3"/>
        <v>0.7603525641</v>
      </c>
      <c r="O16" s="12">
        <f t="shared" si="4"/>
        <v>0.9643495935</v>
      </c>
      <c r="P16" s="13">
        <f t="shared" si="5"/>
        <v>1452000</v>
      </c>
      <c r="Q16" s="9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 ht="12.75" hidden="1" customHeight="1">
      <c r="A17" s="8">
        <v>46023.0</v>
      </c>
      <c r="B17" s="9" t="s">
        <v>26</v>
      </c>
      <c r="C17" s="9" t="s">
        <v>27</v>
      </c>
      <c r="D17" s="9" t="s">
        <v>34</v>
      </c>
      <c r="E17" s="9" t="s">
        <v>22</v>
      </c>
      <c r="F17" s="9">
        <v>4.0</v>
      </c>
      <c r="G17" s="10"/>
      <c r="H17" s="10">
        <v>2.0</v>
      </c>
      <c r="I17" s="11">
        <v>63.76</v>
      </c>
      <c r="J17" s="9">
        <v>100.0</v>
      </c>
      <c r="K17" s="9">
        <f t="shared" si="2"/>
        <v>101</v>
      </c>
      <c r="L17" s="9">
        <v>133.0</v>
      </c>
      <c r="M17" s="9">
        <v>232.0</v>
      </c>
      <c r="N17" s="12">
        <f t="shared" si="3"/>
        <v>0.2748275862</v>
      </c>
      <c r="O17" s="12">
        <f t="shared" si="4"/>
        <v>0.6312871287</v>
      </c>
      <c r="P17" s="13">
        <f t="shared" si="5"/>
        <v>2926000</v>
      </c>
      <c r="Q17" s="9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 ht="12.75" hidden="1" customHeight="1">
      <c r="A18" s="8">
        <v>45992.0</v>
      </c>
      <c r="B18" s="9" t="s">
        <v>35</v>
      </c>
      <c r="C18" s="9" t="s">
        <v>36</v>
      </c>
      <c r="D18" s="9" t="s">
        <v>37</v>
      </c>
      <c r="E18" s="9" t="s">
        <v>20</v>
      </c>
      <c r="F18" s="9">
        <v>174.0</v>
      </c>
      <c r="G18" s="10"/>
      <c r="H18" s="10">
        <v>6.0</v>
      </c>
      <c r="I18" s="11">
        <v>805.3</v>
      </c>
      <c r="J18" s="9">
        <v>443.0</v>
      </c>
      <c r="K18" s="9">
        <f t="shared" si="2"/>
        <v>1079</v>
      </c>
      <c r="L18" s="9">
        <v>60.0</v>
      </c>
      <c r="M18" s="9">
        <v>1139.0</v>
      </c>
      <c r="N18" s="12">
        <f t="shared" si="3"/>
        <v>0.707023705</v>
      </c>
      <c r="O18" s="12">
        <f t="shared" si="4"/>
        <v>0.746339203</v>
      </c>
      <c r="P18" s="13">
        <f t="shared" si="5"/>
        <v>1320000</v>
      </c>
      <c r="Q18" s="9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 ht="12.75" hidden="1" customHeight="1">
      <c r="A19" s="8">
        <v>46054.0</v>
      </c>
      <c r="B19" s="9" t="s">
        <v>26</v>
      </c>
      <c r="C19" s="9" t="s">
        <v>27</v>
      </c>
      <c r="D19" s="9" t="s">
        <v>34</v>
      </c>
      <c r="E19" s="9" t="s">
        <v>22</v>
      </c>
      <c r="F19" s="9">
        <v>11.0</v>
      </c>
      <c r="G19" s="10"/>
      <c r="H19" s="10">
        <v>2.0</v>
      </c>
      <c r="I19" s="11">
        <v>217.0</v>
      </c>
      <c r="J19" s="9">
        <v>247.0</v>
      </c>
      <c r="K19" s="9">
        <f t="shared" si="2"/>
        <v>253</v>
      </c>
      <c r="L19" s="9">
        <v>47.0</v>
      </c>
      <c r="M19" s="9">
        <v>288.0</v>
      </c>
      <c r="N19" s="12">
        <f t="shared" si="3"/>
        <v>0.7534722222</v>
      </c>
      <c r="O19" s="12">
        <f t="shared" si="4"/>
        <v>0.8577075099</v>
      </c>
      <c r="P19" s="13">
        <f t="shared" si="5"/>
        <v>1034000</v>
      </c>
      <c r="Q19" s="9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ht="12.75" hidden="1" customHeight="1">
      <c r="A20" s="8">
        <v>46082.0</v>
      </c>
      <c r="B20" s="9" t="s">
        <v>26</v>
      </c>
      <c r="C20" s="9" t="s">
        <v>27</v>
      </c>
      <c r="D20" s="9" t="s">
        <v>34</v>
      </c>
      <c r="E20" s="15" t="s">
        <v>22</v>
      </c>
      <c r="F20" s="9">
        <f>16+2</f>
        <v>18</v>
      </c>
      <c r="G20" s="10"/>
      <c r="H20" s="10">
        <v>2.0</v>
      </c>
      <c r="I20" s="11">
        <v>252.74</v>
      </c>
      <c r="J20" s="9">
        <v>306.0</v>
      </c>
      <c r="K20" s="9">
        <f t="shared" si="2"/>
        <v>310</v>
      </c>
      <c r="L20" s="9">
        <v>81.0</v>
      </c>
      <c r="M20" s="9">
        <f>213.5-20+(193.5-37-16)+64-7</f>
        <v>391</v>
      </c>
      <c r="N20" s="12">
        <f t="shared" si="3"/>
        <v>0.6463938619</v>
      </c>
      <c r="O20" s="12">
        <f t="shared" si="4"/>
        <v>0.8152903226</v>
      </c>
      <c r="P20" s="13">
        <f t="shared" si="5"/>
        <v>1782000</v>
      </c>
      <c r="Q20" s="9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 ht="12.75" hidden="1" customHeight="1">
      <c r="A21" s="8">
        <v>45992.0</v>
      </c>
      <c r="B21" s="9" t="s">
        <v>26</v>
      </c>
      <c r="C21" s="9" t="s">
        <v>27</v>
      </c>
      <c r="D21" s="9" t="s">
        <v>38</v>
      </c>
      <c r="E21" s="9" t="s">
        <v>22</v>
      </c>
      <c r="F21" s="9">
        <v>13.0</v>
      </c>
      <c r="G21" s="10"/>
      <c r="H21" s="10">
        <v>2.0</v>
      </c>
      <c r="I21" s="11">
        <v>195.0</v>
      </c>
      <c r="J21" s="9">
        <v>249.0</v>
      </c>
      <c r="K21" s="9">
        <f t="shared" si="2"/>
        <v>264</v>
      </c>
      <c r="L21" s="9">
        <v>112.0</v>
      </c>
      <c r="M21" s="9">
        <v>346.0</v>
      </c>
      <c r="N21" s="12">
        <f t="shared" si="3"/>
        <v>0.563583815</v>
      </c>
      <c r="O21" s="12">
        <f t="shared" si="4"/>
        <v>0.7386363636</v>
      </c>
      <c r="P21" s="13">
        <f t="shared" si="5"/>
        <v>2464000</v>
      </c>
      <c r="Q21" s="9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 ht="12.75" hidden="1" customHeight="1">
      <c r="A22" s="8">
        <v>46023.0</v>
      </c>
      <c r="B22" s="9" t="s">
        <v>26</v>
      </c>
      <c r="C22" s="9" t="s">
        <v>27</v>
      </c>
      <c r="D22" s="9" t="s">
        <v>38</v>
      </c>
      <c r="E22" s="9" t="s">
        <v>22</v>
      </c>
      <c r="F22" s="9">
        <v>4.0</v>
      </c>
      <c r="G22" s="10"/>
      <c r="H22" s="10">
        <v>2.0</v>
      </c>
      <c r="I22" s="11">
        <v>63.76</v>
      </c>
      <c r="J22" s="9">
        <v>129.0</v>
      </c>
      <c r="K22" s="9">
        <f t="shared" si="2"/>
        <v>166</v>
      </c>
      <c r="L22" s="9">
        <v>111.0</v>
      </c>
      <c r="M22" s="9">
        <v>277.0</v>
      </c>
      <c r="N22" s="12">
        <f t="shared" si="3"/>
        <v>0.2301805054</v>
      </c>
      <c r="O22" s="12">
        <f t="shared" si="4"/>
        <v>0.3840963855</v>
      </c>
      <c r="P22" s="13">
        <f t="shared" si="5"/>
        <v>2442000</v>
      </c>
      <c r="Q22" s="9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 ht="12.75" hidden="1" customHeight="1">
      <c r="A23" s="8">
        <v>46054.0</v>
      </c>
      <c r="B23" s="9" t="s">
        <v>26</v>
      </c>
      <c r="C23" s="9" t="s">
        <v>27</v>
      </c>
      <c r="D23" s="9" t="s">
        <v>38</v>
      </c>
      <c r="E23" s="9" t="s">
        <v>22</v>
      </c>
      <c r="F23" s="9">
        <v>19.0</v>
      </c>
      <c r="G23" s="10"/>
      <c r="H23" s="10">
        <v>2.0</v>
      </c>
      <c r="I23" s="11">
        <v>267.0</v>
      </c>
      <c r="J23" s="9">
        <v>258.0</v>
      </c>
      <c r="K23" s="9">
        <f t="shared" si="2"/>
        <v>259</v>
      </c>
      <c r="L23" s="9">
        <v>124.0</v>
      </c>
      <c r="M23" s="9">
        <v>381.0</v>
      </c>
      <c r="N23" s="12">
        <f t="shared" si="3"/>
        <v>0.7007874016</v>
      </c>
      <c r="O23" s="12">
        <f t="shared" si="4"/>
        <v>1.030888031</v>
      </c>
      <c r="P23" s="13">
        <f t="shared" si="5"/>
        <v>2728000</v>
      </c>
      <c r="Q23" s="9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 ht="12.75" hidden="1" customHeight="1">
      <c r="A24" s="8">
        <v>46082.0</v>
      </c>
      <c r="B24" s="9" t="s">
        <v>26</v>
      </c>
      <c r="C24" s="9" t="s">
        <v>27</v>
      </c>
      <c r="D24" s="9" t="s">
        <v>38</v>
      </c>
      <c r="E24" s="15" t="s">
        <v>22</v>
      </c>
      <c r="F24" s="9">
        <f>17+3+4</f>
        <v>24</v>
      </c>
      <c r="G24" s="10"/>
      <c r="H24" s="10">
        <v>2.0</v>
      </c>
      <c r="I24" s="11">
        <v>412.49</v>
      </c>
      <c r="J24" s="9">
        <v>310.0</v>
      </c>
      <c r="K24" s="9">
        <f t="shared" si="2"/>
        <v>324</v>
      </c>
      <c r="L24" s="9">
        <v>122.0</v>
      </c>
      <c r="M24" s="9">
        <f>252+234-40</f>
        <v>446</v>
      </c>
      <c r="N24" s="12">
        <f t="shared" si="3"/>
        <v>0.9248654709</v>
      </c>
      <c r="O24" s="12">
        <f t="shared" si="4"/>
        <v>1.273117284</v>
      </c>
      <c r="P24" s="13">
        <f t="shared" si="5"/>
        <v>2684000</v>
      </c>
      <c r="Q24" s="9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 ht="12.75" hidden="1" customHeight="1">
      <c r="A25" s="8">
        <v>45992.0</v>
      </c>
      <c r="B25" s="9" t="s">
        <v>17</v>
      </c>
      <c r="C25" s="9" t="s">
        <v>39</v>
      </c>
      <c r="D25" s="9" t="s">
        <v>40</v>
      </c>
      <c r="E25" s="9" t="s">
        <v>20</v>
      </c>
      <c r="F25" s="9">
        <v>14.0</v>
      </c>
      <c r="G25" s="10">
        <v>9.2</v>
      </c>
      <c r="H25" s="10">
        <v>2.0</v>
      </c>
      <c r="I25" s="11">
        <f t="shared" ref="I25:I33" si="7">(G25*F25)+0.25*F25</f>
        <v>132.3</v>
      </c>
      <c r="J25" s="9">
        <v>188.0</v>
      </c>
      <c r="K25" s="9">
        <f t="shared" si="2"/>
        <v>268</v>
      </c>
      <c r="L25" s="16">
        <v>91.0</v>
      </c>
      <c r="M25" s="9">
        <v>359.0</v>
      </c>
      <c r="N25" s="12">
        <f t="shared" si="3"/>
        <v>0.3685236769</v>
      </c>
      <c r="O25" s="12">
        <f t="shared" si="4"/>
        <v>0.4936567164</v>
      </c>
      <c r="P25" s="13">
        <f t="shared" si="5"/>
        <v>2002000</v>
      </c>
      <c r="Q25" s="9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 ht="12.75" hidden="1" customHeight="1">
      <c r="A26" s="8">
        <v>45992.0</v>
      </c>
      <c r="B26" s="9" t="s">
        <v>17</v>
      </c>
      <c r="C26" s="9" t="s">
        <v>39</v>
      </c>
      <c r="D26" s="9" t="s">
        <v>41</v>
      </c>
      <c r="E26" s="9" t="s">
        <v>20</v>
      </c>
      <c r="F26" s="9">
        <v>16.0</v>
      </c>
      <c r="G26" s="10">
        <v>7.61</v>
      </c>
      <c r="H26" s="10">
        <v>2.0</v>
      </c>
      <c r="I26" s="11">
        <f t="shared" si="7"/>
        <v>125.76</v>
      </c>
      <c r="J26" s="9">
        <v>117.0</v>
      </c>
      <c r="K26" s="9">
        <f t="shared" si="2"/>
        <v>251</v>
      </c>
      <c r="L26" s="9">
        <v>45.0</v>
      </c>
      <c r="M26" s="9">
        <v>296.0</v>
      </c>
      <c r="N26" s="12">
        <f t="shared" si="3"/>
        <v>0.4248648649</v>
      </c>
      <c r="O26" s="12">
        <f t="shared" si="4"/>
        <v>0.5010358566</v>
      </c>
      <c r="P26" s="13">
        <f t="shared" si="5"/>
        <v>990000</v>
      </c>
      <c r="Q26" s="9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 ht="12.75" hidden="1" customHeight="1">
      <c r="A27" s="8">
        <v>45992.0</v>
      </c>
      <c r="B27" s="9" t="s">
        <v>17</v>
      </c>
      <c r="C27" s="9" t="s">
        <v>39</v>
      </c>
      <c r="D27" s="9" t="s">
        <v>42</v>
      </c>
      <c r="E27" s="9" t="s">
        <v>20</v>
      </c>
      <c r="F27" s="9">
        <v>15.0</v>
      </c>
      <c r="G27" s="10">
        <v>12.98</v>
      </c>
      <c r="H27" s="10">
        <v>3.0</v>
      </c>
      <c r="I27" s="11">
        <f t="shared" si="7"/>
        <v>198.45</v>
      </c>
      <c r="J27" s="9">
        <v>311.0</v>
      </c>
      <c r="K27" s="9">
        <f t="shared" si="2"/>
        <v>422</v>
      </c>
      <c r="L27" s="9">
        <v>102.0</v>
      </c>
      <c r="M27" s="9">
        <v>524.0</v>
      </c>
      <c r="N27" s="12">
        <f t="shared" si="3"/>
        <v>0.378721374</v>
      </c>
      <c r="O27" s="12">
        <f t="shared" si="4"/>
        <v>0.4702606635</v>
      </c>
      <c r="P27" s="13">
        <f t="shared" si="5"/>
        <v>2244000</v>
      </c>
      <c r="Q27" s="9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 ht="12.75" hidden="1" customHeight="1">
      <c r="A28" s="8">
        <v>45992.0</v>
      </c>
      <c r="B28" s="9" t="s">
        <v>17</v>
      </c>
      <c r="C28" s="9" t="s">
        <v>39</v>
      </c>
      <c r="D28" s="9" t="s">
        <v>43</v>
      </c>
      <c r="E28" s="9" t="s">
        <v>20</v>
      </c>
      <c r="F28" s="9">
        <v>13.0</v>
      </c>
      <c r="G28" s="10">
        <v>4.69</v>
      </c>
      <c r="H28" s="10">
        <v>1.0</v>
      </c>
      <c r="I28" s="11">
        <f t="shared" si="7"/>
        <v>64.22</v>
      </c>
      <c r="J28" s="9">
        <v>107.0</v>
      </c>
      <c r="K28" s="9">
        <f t="shared" si="2"/>
        <v>157</v>
      </c>
      <c r="L28" s="9">
        <v>2.0</v>
      </c>
      <c r="M28" s="9">
        <v>159.0</v>
      </c>
      <c r="N28" s="12">
        <f t="shared" si="3"/>
        <v>0.4038993711</v>
      </c>
      <c r="O28" s="12">
        <f t="shared" si="4"/>
        <v>0.409044586</v>
      </c>
      <c r="P28" s="13">
        <f t="shared" si="5"/>
        <v>44000</v>
      </c>
      <c r="Q28" s="9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 ht="12.75" hidden="1" customHeight="1">
      <c r="A29" s="8">
        <v>45992.0</v>
      </c>
      <c r="B29" s="9" t="s">
        <v>17</v>
      </c>
      <c r="C29" s="9" t="s">
        <v>39</v>
      </c>
      <c r="D29" s="9" t="s">
        <v>44</v>
      </c>
      <c r="E29" s="9" t="s">
        <v>20</v>
      </c>
      <c r="F29" s="9">
        <v>11.0</v>
      </c>
      <c r="G29" s="10">
        <v>4.61</v>
      </c>
      <c r="H29" s="10">
        <v>1.0</v>
      </c>
      <c r="I29" s="11">
        <f t="shared" si="7"/>
        <v>53.46</v>
      </c>
      <c r="J29" s="9">
        <v>90.0</v>
      </c>
      <c r="K29" s="9">
        <f t="shared" si="2"/>
        <v>211</v>
      </c>
      <c r="L29" s="17">
        <v>23.0</v>
      </c>
      <c r="M29" s="9">
        <v>234.0</v>
      </c>
      <c r="N29" s="12">
        <f t="shared" si="3"/>
        <v>0.2284615385</v>
      </c>
      <c r="O29" s="12">
        <f t="shared" si="4"/>
        <v>0.2533649289</v>
      </c>
      <c r="P29" s="13">
        <f t="shared" si="5"/>
        <v>506000</v>
      </c>
      <c r="Q29" s="9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 ht="12.75" hidden="1" customHeight="1">
      <c r="A30" s="8">
        <v>45992.0</v>
      </c>
      <c r="B30" s="9" t="s">
        <v>17</v>
      </c>
      <c r="C30" s="9" t="s">
        <v>39</v>
      </c>
      <c r="D30" s="9" t="s">
        <v>45</v>
      </c>
      <c r="E30" s="9" t="s">
        <v>20</v>
      </c>
      <c r="F30" s="9">
        <v>5.0</v>
      </c>
      <c r="G30" s="10">
        <v>4.5</v>
      </c>
      <c r="H30" s="10">
        <v>1.0</v>
      </c>
      <c r="I30" s="11">
        <f t="shared" si="7"/>
        <v>23.75</v>
      </c>
      <c r="J30" s="9">
        <v>57.0</v>
      </c>
      <c r="K30" s="9">
        <f t="shared" si="2"/>
        <v>140</v>
      </c>
      <c r="L30" s="17">
        <v>86.0</v>
      </c>
      <c r="M30" s="9">
        <v>226.0</v>
      </c>
      <c r="N30" s="12">
        <f t="shared" si="3"/>
        <v>0.1050884956</v>
      </c>
      <c r="O30" s="12">
        <f t="shared" si="4"/>
        <v>0.1696428571</v>
      </c>
      <c r="P30" s="13">
        <f t="shared" si="5"/>
        <v>1892000</v>
      </c>
      <c r="Q30" s="9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 ht="12.75" hidden="1" customHeight="1">
      <c r="A31" s="8">
        <v>45992.0</v>
      </c>
      <c r="B31" s="9" t="s">
        <v>17</v>
      </c>
      <c r="C31" s="9" t="s">
        <v>39</v>
      </c>
      <c r="D31" s="9" t="s">
        <v>46</v>
      </c>
      <c r="E31" s="9" t="s">
        <v>20</v>
      </c>
      <c r="F31" s="9">
        <v>11.0</v>
      </c>
      <c r="G31" s="10">
        <v>9.2</v>
      </c>
      <c r="H31" s="10">
        <v>2.0</v>
      </c>
      <c r="I31" s="11">
        <f t="shared" si="7"/>
        <v>103.95</v>
      </c>
      <c r="J31" s="9">
        <v>193.0</v>
      </c>
      <c r="K31" s="9">
        <f t="shared" si="2"/>
        <v>236</v>
      </c>
      <c r="L31" s="17">
        <v>124.0</v>
      </c>
      <c r="M31" s="9">
        <v>360.0</v>
      </c>
      <c r="N31" s="12">
        <f t="shared" si="3"/>
        <v>0.28875</v>
      </c>
      <c r="O31" s="12">
        <f t="shared" si="4"/>
        <v>0.4404661017</v>
      </c>
      <c r="P31" s="13">
        <f t="shared" si="5"/>
        <v>2728000</v>
      </c>
      <c r="Q31" s="9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 ht="12.75" hidden="1" customHeight="1">
      <c r="A32" s="8">
        <v>45992.0</v>
      </c>
      <c r="B32" s="9" t="s">
        <v>17</v>
      </c>
      <c r="C32" s="9" t="s">
        <v>39</v>
      </c>
      <c r="D32" s="9" t="s">
        <v>47</v>
      </c>
      <c r="E32" s="9" t="s">
        <v>20</v>
      </c>
      <c r="F32" s="9">
        <v>15.0</v>
      </c>
      <c r="G32" s="10">
        <f>20736/3600</f>
        <v>5.76</v>
      </c>
      <c r="H32" s="10">
        <v>1.0</v>
      </c>
      <c r="I32" s="11">
        <f t="shared" si="7"/>
        <v>90.15</v>
      </c>
      <c r="J32" s="9">
        <v>115.0</v>
      </c>
      <c r="K32" s="9">
        <f t="shared" si="2"/>
        <v>127</v>
      </c>
      <c r="L32" s="17">
        <v>41.0</v>
      </c>
      <c r="M32" s="9">
        <v>168.0</v>
      </c>
      <c r="N32" s="12">
        <f t="shared" si="3"/>
        <v>0.5366071429</v>
      </c>
      <c r="O32" s="12">
        <f t="shared" si="4"/>
        <v>0.7098425197</v>
      </c>
      <c r="P32" s="13">
        <f t="shared" si="5"/>
        <v>902000</v>
      </c>
      <c r="Q32" s="9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 ht="12.75" hidden="1" customHeight="1">
      <c r="A33" s="8">
        <v>45992.0</v>
      </c>
      <c r="B33" s="9" t="s">
        <v>17</v>
      </c>
      <c r="C33" s="9" t="s">
        <v>39</v>
      </c>
      <c r="D33" s="9" t="s">
        <v>48</v>
      </c>
      <c r="E33" s="9" t="s">
        <v>20</v>
      </c>
      <c r="F33" s="9">
        <v>22.0</v>
      </c>
      <c r="G33" s="10">
        <v>10.04</v>
      </c>
      <c r="H33" s="10">
        <v>2.0</v>
      </c>
      <c r="I33" s="11">
        <f t="shared" si="7"/>
        <v>226.38</v>
      </c>
      <c r="J33" s="9">
        <v>154.0</v>
      </c>
      <c r="K33" s="9">
        <f t="shared" si="2"/>
        <v>361</v>
      </c>
      <c r="L33" s="17">
        <v>34.0</v>
      </c>
      <c r="M33" s="9">
        <v>395.0</v>
      </c>
      <c r="N33" s="12">
        <f t="shared" si="3"/>
        <v>0.5731139241</v>
      </c>
      <c r="O33" s="12">
        <f t="shared" si="4"/>
        <v>0.6270914127</v>
      </c>
      <c r="P33" s="13">
        <f t="shared" si="5"/>
        <v>748000</v>
      </c>
      <c r="Q33" s="9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 ht="12.75" hidden="1" customHeight="1">
      <c r="A34" s="8">
        <v>45992.0</v>
      </c>
      <c r="B34" s="9" t="s">
        <v>35</v>
      </c>
      <c r="C34" s="9" t="s">
        <v>49</v>
      </c>
      <c r="D34" s="9" t="s">
        <v>50</v>
      </c>
      <c r="E34" s="9" t="s">
        <v>22</v>
      </c>
      <c r="F34" s="9">
        <v>174.0</v>
      </c>
      <c r="G34" s="10"/>
      <c r="H34" s="10">
        <v>8.0</v>
      </c>
      <c r="I34" s="11">
        <v>686.8</v>
      </c>
      <c r="J34" s="9">
        <v>995.0</v>
      </c>
      <c r="K34" s="9">
        <f t="shared" si="2"/>
        <v>1210</v>
      </c>
      <c r="L34" s="9">
        <v>709.0</v>
      </c>
      <c r="M34" s="9">
        <v>1489.0</v>
      </c>
      <c r="N34" s="12">
        <f t="shared" si="3"/>
        <v>0.4612491605</v>
      </c>
      <c r="O34" s="12">
        <f t="shared" si="4"/>
        <v>0.5676033058</v>
      </c>
      <c r="P34" s="13">
        <f t="shared" si="5"/>
        <v>15598000</v>
      </c>
      <c r="Q34" s="9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 ht="12.75" hidden="1" customHeight="1">
      <c r="A35" s="8">
        <v>45992.0</v>
      </c>
      <c r="B35" s="9" t="s">
        <v>17</v>
      </c>
      <c r="C35" s="9" t="s">
        <v>39</v>
      </c>
      <c r="D35" s="9" t="s">
        <v>51</v>
      </c>
      <c r="E35" s="9" t="s">
        <v>20</v>
      </c>
      <c r="F35" s="9">
        <v>17.0</v>
      </c>
      <c r="G35" s="10">
        <v>4.33</v>
      </c>
      <c r="H35" s="10">
        <v>1.0</v>
      </c>
      <c r="I35" s="11">
        <f t="shared" ref="I35:I37" si="8">(G35*F35)+0.25*F35</f>
        <v>77.86</v>
      </c>
      <c r="J35" s="9">
        <v>73.0</v>
      </c>
      <c r="K35" s="9">
        <f t="shared" si="2"/>
        <v>126</v>
      </c>
      <c r="L35" s="9">
        <v>37.0</v>
      </c>
      <c r="M35" s="9">
        <v>163.0</v>
      </c>
      <c r="N35" s="12">
        <f t="shared" si="3"/>
        <v>0.4776687117</v>
      </c>
      <c r="O35" s="12">
        <f t="shared" si="4"/>
        <v>0.6179365079</v>
      </c>
      <c r="P35" s="13">
        <f t="shared" si="5"/>
        <v>814000</v>
      </c>
      <c r="Q35" s="9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 ht="12.75" hidden="1" customHeight="1">
      <c r="A36" s="8">
        <v>45992.0</v>
      </c>
      <c r="B36" s="9" t="s">
        <v>17</v>
      </c>
      <c r="C36" s="9" t="s">
        <v>39</v>
      </c>
      <c r="D36" s="9" t="s">
        <v>52</v>
      </c>
      <c r="E36" s="9" t="s">
        <v>20</v>
      </c>
      <c r="F36" s="9">
        <v>16.0</v>
      </c>
      <c r="G36" s="10">
        <v>4.6</v>
      </c>
      <c r="H36" s="10">
        <v>1.0</v>
      </c>
      <c r="I36" s="11">
        <f t="shared" si="8"/>
        <v>77.6</v>
      </c>
      <c r="J36" s="9">
        <v>63.0</v>
      </c>
      <c r="K36" s="9">
        <f t="shared" si="2"/>
        <v>98</v>
      </c>
      <c r="L36" s="9">
        <v>40.0</v>
      </c>
      <c r="M36" s="9">
        <v>138.0</v>
      </c>
      <c r="N36" s="12">
        <f t="shared" si="3"/>
        <v>0.5623188406</v>
      </c>
      <c r="O36" s="12">
        <f t="shared" si="4"/>
        <v>0.7918367347</v>
      </c>
      <c r="P36" s="13">
        <f t="shared" si="5"/>
        <v>880000</v>
      </c>
      <c r="Q36" s="9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 ht="12.75" hidden="1" customHeight="1">
      <c r="A37" s="8">
        <v>45992.0</v>
      </c>
      <c r="B37" s="9" t="s">
        <v>17</v>
      </c>
      <c r="C37" s="9" t="s">
        <v>39</v>
      </c>
      <c r="D37" s="9" t="s">
        <v>53</v>
      </c>
      <c r="E37" s="9" t="s">
        <v>20</v>
      </c>
      <c r="F37" s="9">
        <v>17.0</v>
      </c>
      <c r="G37" s="10">
        <v>4.66</v>
      </c>
      <c r="H37" s="10">
        <v>1.0</v>
      </c>
      <c r="I37" s="11">
        <f t="shared" si="8"/>
        <v>83.47</v>
      </c>
      <c r="J37" s="9">
        <v>103.0</v>
      </c>
      <c r="K37" s="9">
        <f t="shared" si="2"/>
        <v>141</v>
      </c>
      <c r="L37" s="9">
        <v>14.0</v>
      </c>
      <c r="M37" s="9">
        <v>155.0</v>
      </c>
      <c r="N37" s="12">
        <f t="shared" si="3"/>
        <v>0.538516129</v>
      </c>
      <c r="O37" s="12">
        <f t="shared" si="4"/>
        <v>0.5919858156</v>
      </c>
      <c r="P37" s="13">
        <f t="shared" si="5"/>
        <v>308000</v>
      </c>
      <c r="Q37" s="9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 ht="12.75" hidden="1" customHeight="1">
      <c r="A38" s="8">
        <v>46023.0</v>
      </c>
      <c r="B38" s="9" t="s">
        <v>26</v>
      </c>
      <c r="C38" s="9" t="s">
        <v>27</v>
      </c>
      <c r="D38" s="9" t="s">
        <v>54</v>
      </c>
      <c r="E38" s="9" t="s">
        <v>20</v>
      </c>
      <c r="F38" s="9">
        <v>5.0</v>
      </c>
      <c r="G38" s="10"/>
      <c r="H38" s="10">
        <v>1.0</v>
      </c>
      <c r="I38" s="11">
        <v>13.75</v>
      </c>
      <c r="J38" s="9">
        <v>0.0</v>
      </c>
      <c r="K38" s="9">
        <f t="shared" si="2"/>
        <v>50</v>
      </c>
      <c r="L38" s="9">
        <v>0.0</v>
      </c>
      <c r="M38" s="9">
        <v>50.0</v>
      </c>
      <c r="N38" s="12">
        <f t="shared" si="3"/>
        <v>0.275</v>
      </c>
      <c r="O38" s="12">
        <f t="shared" si="4"/>
        <v>0.275</v>
      </c>
      <c r="P38" s="13">
        <f t="shared" si="5"/>
        <v>0</v>
      </c>
      <c r="Q38" s="9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 ht="12.75" hidden="1" customHeight="1">
      <c r="A39" s="8">
        <v>46023.0</v>
      </c>
      <c r="B39" s="9" t="s">
        <v>26</v>
      </c>
      <c r="C39" s="9" t="s">
        <v>27</v>
      </c>
      <c r="D39" s="9" t="s">
        <v>28</v>
      </c>
      <c r="E39" s="9" t="s">
        <v>20</v>
      </c>
      <c r="F39" s="9">
        <v>5.0</v>
      </c>
      <c r="G39" s="10"/>
      <c r="H39" s="10">
        <v>1.0</v>
      </c>
      <c r="I39" s="11">
        <v>26.25</v>
      </c>
      <c r="J39" s="9">
        <v>0.0</v>
      </c>
      <c r="K39" s="9">
        <f t="shared" si="2"/>
        <v>34</v>
      </c>
      <c r="L39" s="9">
        <v>0.0</v>
      </c>
      <c r="M39" s="9">
        <v>34.0</v>
      </c>
      <c r="N39" s="12">
        <f t="shared" si="3"/>
        <v>0.7720588235</v>
      </c>
      <c r="O39" s="12">
        <f t="shared" si="4"/>
        <v>0.7720588235</v>
      </c>
      <c r="P39" s="13">
        <f t="shared" si="5"/>
        <v>0</v>
      </c>
      <c r="Q39" s="9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 ht="12.75" hidden="1" customHeight="1">
      <c r="A40" s="8">
        <v>46023.0</v>
      </c>
      <c r="B40" s="9" t="s">
        <v>26</v>
      </c>
      <c r="C40" s="9" t="s">
        <v>27</v>
      </c>
      <c r="D40" s="9" t="s">
        <v>29</v>
      </c>
      <c r="E40" s="9" t="s">
        <v>20</v>
      </c>
      <c r="F40" s="9">
        <v>2.0</v>
      </c>
      <c r="G40" s="10"/>
      <c r="H40" s="10">
        <v>1.0</v>
      </c>
      <c r="I40" s="11">
        <v>16.16</v>
      </c>
      <c r="J40" s="9">
        <v>0.0</v>
      </c>
      <c r="K40" s="9">
        <f t="shared" si="2"/>
        <v>25</v>
      </c>
      <c r="L40" s="9">
        <v>24.0</v>
      </c>
      <c r="M40" s="9">
        <v>49.0</v>
      </c>
      <c r="N40" s="12">
        <f t="shared" si="3"/>
        <v>0.3297959184</v>
      </c>
      <c r="O40" s="12">
        <f t="shared" si="4"/>
        <v>0.6464</v>
      </c>
      <c r="P40" s="13">
        <f t="shared" si="5"/>
        <v>528000</v>
      </c>
      <c r="Q40" s="9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 ht="12.75" hidden="1" customHeight="1">
      <c r="A41" s="8">
        <v>46023.0</v>
      </c>
      <c r="B41" s="9" t="s">
        <v>26</v>
      </c>
      <c r="C41" s="9" t="s">
        <v>27</v>
      </c>
      <c r="D41" s="9" t="s">
        <v>30</v>
      </c>
      <c r="E41" s="9" t="s">
        <v>20</v>
      </c>
      <c r="F41" s="9">
        <v>4.0</v>
      </c>
      <c r="G41" s="10"/>
      <c r="H41" s="10">
        <v>1.0</v>
      </c>
      <c r="I41" s="11">
        <v>32.32</v>
      </c>
      <c r="J41" s="9">
        <v>43.0</v>
      </c>
      <c r="K41" s="9">
        <f t="shared" si="2"/>
        <v>85</v>
      </c>
      <c r="L41" s="9">
        <v>46.0</v>
      </c>
      <c r="M41" s="9">
        <v>47.0</v>
      </c>
      <c r="N41" s="12">
        <f t="shared" si="3"/>
        <v>0.6876595745</v>
      </c>
      <c r="O41" s="12">
        <f t="shared" si="4"/>
        <v>0.3802352941</v>
      </c>
      <c r="P41" s="13">
        <f t="shared" si="5"/>
        <v>1012000</v>
      </c>
      <c r="Q41" s="9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 ht="12.75" hidden="1" customHeight="1">
      <c r="A42" s="8">
        <v>46023.0</v>
      </c>
      <c r="B42" s="9" t="s">
        <v>26</v>
      </c>
      <c r="C42" s="9" t="s">
        <v>27</v>
      </c>
      <c r="D42" s="9" t="s">
        <v>31</v>
      </c>
      <c r="E42" s="9" t="s">
        <v>20</v>
      </c>
      <c r="F42" s="9">
        <v>14.0</v>
      </c>
      <c r="G42" s="10"/>
      <c r="H42" s="10">
        <v>1.0</v>
      </c>
      <c r="I42" s="11">
        <v>39.0</v>
      </c>
      <c r="J42" s="9">
        <v>41.0</v>
      </c>
      <c r="K42" s="9">
        <f t="shared" si="2"/>
        <v>50</v>
      </c>
      <c r="L42" s="9">
        <v>17.0</v>
      </c>
      <c r="M42" s="9">
        <v>49.0</v>
      </c>
      <c r="N42" s="12">
        <f t="shared" si="3"/>
        <v>0.7959183673</v>
      </c>
      <c r="O42" s="12">
        <f t="shared" si="4"/>
        <v>0.78</v>
      </c>
      <c r="P42" s="13">
        <f t="shared" si="5"/>
        <v>374000</v>
      </c>
      <c r="Q42" s="9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 ht="12.75" hidden="1" customHeight="1">
      <c r="A43" s="8">
        <v>46023.0</v>
      </c>
      <c r="B43" s="9" t="s">
        <v>26</v>
      </c>
      <c r="C43" s="9" t="s">
        <v>27</v>
      </c>
      <c r="D43" s="9" t="s">
        <v>32</v>
      </c>
      <c r="E43" s="9" t="s">
        <v>20</v>
      </c>
      <c r="F43" s="9">
        <v>11.0</v>
      </c>
      <c r="G43" s="10"/>
      <c r="H43" s="10">
        <v>1.0</v>
      </c>
      <c r="I43" s="11">
        <v>28.26</v>
      </c>
      <c r="J43" s="9">
        <v>40.0</v>
      </c>
      <c r="K43" s="9">
        <f t="shared" si="2"/>
        <v>49</v>
      </c>
      <c r="L43" s="9">
        <v>8.0</v>
      </c>
      <c r="M43" s="9">
        <v>39.0</v>
      </c>
      <c r="N43" s="12">
        <f t="shared" si="3"/>
        <v>0.7246153846</v>
      </c>
      <c r="O43" s="12">
        <f t="shared" si="4"/>
        <v>0.5767346939</v>
      </c>
      <c r="P43" s="13">
        <f t="shared" si="5"/>
        <v>176000</v>
      </c>
      <c r="Q43" s="9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 ht="12.75" hidden="1" customHeight="1">
      <c r="A44" s="8">
        <v>46023.0</v>
      </c>
      <c r="B44" s="9" t="s">
        <v>26</v>
      </c>
      <c r="C44" s="9" t="s">
        <v>27</v>
      </c>
      <c r="D44" s="9" t="s">
        <v>33</v>
      </c>
      <c r="E44" s="9" t="s">
        <v>20</v>
      </c>
      <c r="F44" s="9">
        <v>4.0</v>
      </c>
      <c r="G44" s="10"/>
      <c r="H44" s="10">
        <v>1.0</v>
      </c>
      <c r="I44" s="11">
        <v>9.8</v>
      </c>
      <c r="J44" s="9">
        <v>14.0</v>
      </c>
      <c r="K44" s="9">
        <f t="shared" si="2"/>
        <v>39</v>
      </c>
      <c r="L44" s="9">
        <v>37.0</v>
      </c>
      <c r="M44" s="9">
        <v>26.0</v>
      </c>
      <c r="N44" s="12">
        <f t="shared" si="3"/>
        <v>0.3769230769</v>
      </c>
      <c r="O44" s="12">
        <f t="shared" si="4"/>
        <v>0.2512820513</v>
      </c>
      <c r="P44" s="13">
        <f t="shared" si="5"/>
        <v>814000</v>
      </c>
      <c r="Q44" s="9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 ht="12.75" hidden="1" customHeight="1">
      <c r="A45" s="8">
        <v>46023.0</v>
      </c>
      <c r="B45" s="9" t="s">
        <v>35</v>
      </c>
      <c r="C45" s="9" t="s">
        <v>49</v>
      </c>
      <c r="D45" s="9" t="s">
        <v>50</v>
      </c>
      <c r="E45" s="9" t="s">
        <v>22</v>
      </c>
      <c r="F45" s="9">
        <v>104.0</v>
      </c>
      <c r="G45" s="10"/>
      <c r="H45" s="10">
        <v>8.0</v>
      </c>
      <c r="I45" s="11">
        <v>493.0</v>
      </c>
      <c r="J45" s="9">
        <v>521.0</v>
      </c>
      <c r="K45" s="9">
        <f t="shared" si="2"/>
        <v>705</v>
      </c>
      <c r="L45" s="9">
        <v>350.0</v>
      </c>
      <c r="M45" s="9">
        <v>1055.0</v>
      </c>
      <c r="N45" s="12">
        <f t="shared" si="3"/>
        <v>0.4672985782</v>
      </c>
      <c r="O45" s="12">
        <f t="shared" si="4"/>
        <v>0.6992907801</v>
      </c>
      <c r="P45" s="13">
        <f t="shared" si="5"/>
        <v>7700000</v>
      </c>
      <c r="Q45" s="9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 ht="12.75" hidden="1" customHeight="1">
      <c r="A46" s="8">
        <v>46054.0</v>
      </c>
      <c r="B46" s="9" t="s">
        <v>35</v>
      </c>
      <c r="C46" s="9" t="s">
        <v>49</v>
      </c>
      <c r="D46" s="9" t="s">
        <v>50</v>
      </c>
      <c r="E46" s="9" t="s">
        <v>22</v>
      </c>
      <c r="F46" s="9">
        <v>162.0</v>
      </c>
      <c r="G46" s="10"/>
      <c r="H46" s="10">
        <v>8.0</v>
      </c>
      <c r="I46" s="11">
        <v>817.0</v>
      </c>
      <c r="J46" s="9">
        <v>898.0</v>
      </c>
      <c r="K46" s="9">
        <f t="shared" si="2"/>
        <v>996</v>
      </c>
      <c r="L46" s="9">
        <v>703.0</v>
      </c>
      <c r="M46" s="9">
        <v>1503.0</v>
      </c>
      <c r="N46" s="12">
        <f t="shared" si="3"/>
        <v>0.5435795077</v>
      </c>
      <c r="O46" s="12">
        <f t="shared" si="4"/>
        <v>0.8202811245</v>
      </c>
      <c r="P46" s="13">
        <f t="shared" si="5"/>
        <v>15466000</v>
      </c>
      <c r="Q46" s="9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 ht="12.75" hidden="1" customHeight="1">
      <c r="A47" s="8">
        <v>45992.0</v>
      </c>
      <c r="B47" s="9" t="s">
        <v>17</v>
      </c>
      <c r="C47" s="9" t="s">
        <v>18</v>
      </c>
      <c r="D47" s="9" t="s">
        <v>55</v>
      </c>
      <c r="E47" s="9" t="s">
        <v>20</v>
      </c>
      <c r="F47" s="9">
        <v>9.0</v>
      </c>
      <c r="G47" s="10"/>
      <c r="H47" s="10"/>
      <c r="I47" s="11">
        <f>(G47*F47)+0.25*F47</f>
        <v>2.25</v>
      </c>
      <c r="J47" s="9">
        <v>80.0</v>
      </c>
      <c r="K47" s="9">
        <f t="shared" si="2"/>
        <v>121</v>
      </c>
      <c r="L47" s="9">
        <v>65.0</v>
      </c>
      <c r="M47" s="9">
        <v>104.0</v>
      </c>
      <c r="N47" s="12">
        <f t="shared" si="3"/>
        <v>0.02163461538</v>
      </c>
      <c r="O47" s="12">
        <f t="shared" si="4"/>
        <v>0.01859504132</v>
      </c>
      <c r="P47" s="13">
        <f t="shared" si="5"/>
        <v>1430000</v>
      </c>
      <c r="Q47" s="9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 ht="12.75" hidden="1" customHeight="1">
      <c r="A48" s="8">
        <v>46023.0</v>
      </c>
      <c r="B48" s="9" t="s">
        <v>17</v>
      </c>
      <c r="C48" s="9" t="s">
        <v>18</v>
      </c>
      <c r="D48" s="9" t="s">
        <v>55</v>
      </c>
      <c r="E48" s="9" t="s">
        <v>20</v>
      </c>
      <c r="F48" s="9">
        <v>6.0</v>
      </c>
      <c r="G48" s="10"/>
      <c r="H48" s="10"/>
      <c r="I48" s="11">
        <v>80.0</v>
      </c>
      <c r="J48" s="9">
        <v>79.0</v>
      </c>
      <c r="K48" s="9">
        <f t="shared" si="2"/>
        <v>118</v>
      </c>
      <c r="L48" s="9">
        <v>36.0</v>
      </c>
      <c r="M48" s="9">
        <v>154.0</v>
      </c>
      <c r="N48" s="12">
        <f t="shared" si="3"/>
        <v>0.5194805195</v>
      </c>
      <c r="O48" s="12">
        <f t="shared" si="4"/>
        <v>0.6779661017</v>
      </c>
      <c r="P48" s="13">
        <f t="shared" si="5"/>
        <v>792000</v>
      </c>
      <c r="Q48" s="9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 ht="12.75" hidden="1" customHeight="1">
      <c r="A49" s="8">
        <v>45992.0</v>
      </c>
      <c r="B49" s="9" t="s">
        <v>17</v>
      </c>
      <c r="C49" s="9" t="s">
        <v>18</v>
      </c>
      <c r="D49" s="9" t="s">
        <v>56</v>
      </c>
      <c r="E49" s="9" t="s">
        <v>20</v>
      </c>
      <c r="F49" s="9">
        <v>7.0</v>
      </c>
      <c r="G49" s="10"/>
      <c r="H49" s="10"/>
      <c r="I49" s="11">
        <f t="shared" ref="I49:I57" si="9">(G49*F49)+0.25*F49</f>
        <v>1.75</v>
      </c>
      <c r="J49" s="9">
        <v>83.0</v>
      </c>
      <c r="K49" s="9">
        <f t="shared" si="2"/>
        <v>161</v>
      </c>
      <c r="L49" s="9">
        <v>59.0</v>
      </c>
      <c r="M49" s="9">
        <v>220.0</v>
      </c>
      <c r="N49" s="12">
        <f t="shared" si="3"/>
        <v>0.007954545455</v>
      </c>
      <c r="O49" s="12">
        <f t="shared" si="4"/>
        <v>0.01086956522</v>
      </c>
      <c r="P49" s="13">
        <f t="shared" si="5"/>
        <v>1298000</v>
      </c>
      <c r="Q49" s="9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 ht="12.75" hidden="1" customHeight="1">
      <c r="A50" s="8">
        <v>46023.0</v>
      </c>
      <c r="B50" s="9" t="s">
        <v>17</v>
      </c>
      <c r="C50" s="9" t="s">
        <v>39</v>
      </c>
      <c r="D50" s="9" t="s">
        <v>40</v>
      </c>
      <c r="E50" s="9" t="s">
        <v>20</v>
      </c>
      <c r="F50" s="9">
        <v>12.0</v>
      </c>
      <c r="G50" s="10">
        <v>9.2</v>
      </c>
      <c r="H50" s="10">
        <v>2.0</v>
      </c>
      <c r="I50" s="11">
        <f t="shared" si="9"/>
        <v>113.4</v>
      </c>
      <c r="J50" s="9">
        <v>130.0</v>
      </c>
      <c r="K50" s="9">
        <f t="shared" si="2"/>
        <v>132</v>
      </c>
      <c r="L50" s="17">
        <v>105.0</v>
      </c>
      <c r="M50" s="9">
        <v>233.0</v>
      </c>
      <c r="N50" s="12">
        <f t="shared" si="3"/>
        <v>0.486695279</v>
      </c>
      <c r="O50" s="12">
        <f t="shared" si="4"/>
        <v>0.8590909091</v>
      </c>
      <c r="P50" s="13">
        <f t="shared" si="5"/>
        <v>2310000</v>
      </c>
      <c r="Q50" s="9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 ht="12.75" hidden="1" customHeight="1">
      <c r="A51" s="8">
        <v>46023.0</v>
      </c>
      <c r="B51" s="9" t="s">
        <v>17</v>
      </c>
      <c r="C51" s="9" t="s">
        <v>39</v>
      </c>
      <c r="D51" s="9" t="s">
        <v>41</v>
      </c>
      <c r="E51" s="9" t="s">
        <v>20</v>
      </c>
      <c r="F51" s="9">
        <v>12.0</v>
      </c>
      <c r="G51" s="10">
        <v>7.61</v>
      </c>
      <c r="H51" s="10">
        <v>2.0</v>
      </c>
      <c r="I51" s="11">
        <f t="shared" si="9"/>
        <v>94.32</v>
      </c>
      <c r="J51" s="9">
        <v>139.0</v>
      </c>
      <c r="K51" s="9">
        <f t="shared" si="2"/>
        <v>157</v>
      </c>
      <c r="L51" s="17">
        <v>77.0</v>
      </c>
      <c r="M51" s="9">
        <v>234.0</v>
      </c>
      <c r="N51" s="12">
        <f t="shared" si="3"/>
        <v>0.4030769231</v>
      </c>
      <c r="O51" s="12">
        <f t="shared" si="4"/>
        <v>0.6007643312</v>
      </c>
      <c r="P51" s="13">
        <f t="shared" si="5"/>
        <v>1694000</v>
      </c>
      <c r="Q51" s="9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 ht="12.75" hidden="1" customHeight="1">
      <c r="A52" s="8">
        <v>46023.0</v>
      </c>
      <c r="B52" s="9" t="s">
        <v>17</v>
      </c>
      <c r="C52" s="9" t="s">
        <v>39</v>
      </c>
      <c r="D52" s="9" t="s">
        <v>42</v>
      </c>
      <c r="E52" s="9" t="s">
        <v>20</v>
      </c>
      <c r="F52" s="9">
        <v>17.0</v>
      </c>
      <c r="G52" s="10">
        <v>12.98</v>
      </c>
      <c r="H52" s="10">
        <v>3.0</v>
      </c>
      <c r="I52" s="11">
        <f t="shared" si="9"/>
        <v>224.91</v>
      </c>
      <c r="J52" s="9">
        <v>301.0</v>
      </c>
      <c r="K52" s="9">
        <f t="shared" si="2"/>
        <v>313</v>
      </c>
      <c r="L52" s="17">
        <v>81.0</v>
      </c>
      <c r="M52" s="9">
        <v>394.0</v>
      </c>
      <c r="N52" s="12">
        <f t="shared" si="3"/>
        <v>0.5708375635</v>
      </c>
      <c r="O52" s="12">
        <f t="shared" si="4"/>
        <v>0.7185623003</v>
      </c>
      <c r="P52" s="13">
        <f t="shared" si="5"/>
        <v>1782000</v>
      </c>
      <c r="Q52" s="9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 ht="12.75" hidden="1" customHeight="1">
      <c r="A53" s="8">
        <v>46023.0</v>
      </c>
      <c r="B53" s="9" t="s">
        <v>17</v>
      </c>
      <c r="C53" s="9" t="s">
        <v>39</v>
      </c>
      <c r="D53" s="9" t="s">
        <v>43</v>
      </c>
      <c r="E53" s="9" t="s">
        <v>20</v>
      </c>
      <c r="F53" s="9">
        <v>17.0</v>
      </c>
      <c r="G53" s="10">
        <v>4.69</v>
      </c>
      <c r="H53" s="10">
        <v>1.0</v>
      </c>
      <c r="I53" s="11">
        <f t="shared" si="9"/>
        <v>83.98</v>
      </c>
      <c r="J53" s="9">
        <v>91.0</v>
      </c>
      <c r="K53" s="9">
        <f t="shared" si="2"/>
        <v>93</v>
      </c>
      <c r="L53" s="17">
        <v>8.0</v>
      </c>
      <c r="M53" s="9">
        <v>101.0</v>
      </c>
      <c r="N53" s="12">
        <f t="shared" si="3"/>
        <v>0.8314851485</v>
      </c>
      <c r="O53" s="12">
        <f t="shared" si="4"/>
        <v>0.9030107527</v>
      </c>
      <c r="P53" s="13">
        <f t="shared" si="5"/>
        <v>176000</v>
      </c>
      <c r="Q53" s="9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 ht="12.75" hidden="1" customHeight="1">
      <c r="A54" s="8">
        <v>46023.0</v>
      </c>
      <c r="B54" s="9" t="s">
        <v>17</v>
      </c>
      <c r="C54" s="9" t="s">
        <v>39</v>
      </c>
      <c r="D54" s="9" t="s">
        <v>44</v>
      </c>
      <c r="E54" s="9" t="s">
        <v>20</v>
      </c>
      <c r="F54" s="9">
        <v>9.0</v>
      </c>
      <c r="G54" s="10">
        <v>4.61</v>
      </c>
      <c r="H54" s="10">
        <v>1.0</v>
      </c>
      <c r="I54" s="11">
        <f t="shared" si="9"/>
        <v>43.74</v>
      </c>
      <c r="J54" s="9">
        <v>56.0</v>
      </c>
      <c r="K54" s="9">
        <f t="shared" si="2"/>
        <v>205</v>
      </c>
      <c r="L54" s="17">
        <v>16.0</v>
      </c>
      <c r="M54" s="9">
        <v>221.0</v>
      </c>
      <c r="N54" s="12">
        <f t="shared" si="3"/>
        <v>0.197918552</v>
      </c>
      <c r="O54" s="12">
        <f t="shared" si="4"/>
        <v>0.2133658537</v>
      </c>
      <c r="P54" s="13">
        <f t="shared" si="5"/>
        <v>352000</v>
      </c>
      <c r="Q54" s="9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 ht="12.75" hidden="1" customHeight="1">
      <c r="A55" s="8">
        <v>46023.0</v>
      </c>
      <c r="B55" s="9" t="s">
        <v>17</v>
      </c>
      <c r="C55" s="9" t="s">
        <v>39</v>
      </c>
      <c r="D55" s="9" t="s">
        <v>45</v>
      </c>
      <c r="E55" s="9" t="s">
        <v>20</v>
      </c>
      <c r="F55" s="9">
        <v>12.0</v>
      </c>
      <c r="G55" s="10">
        <v>4.5</v>
      </c>
      <c r="H55" s="10">
        <v>1.0</v>
      </c>
      <c r="I55" s="11">
        <f t="shared" si="9"/>
        <v>57</v>
      </c>
      <c r="J55" s="9">
        <v>81.0</v>
      </c>
      <c r="K55" s="9">
        <f t="shared" si="2"/>
        <v>138</v>
      </c>
      <c r="L55" s="17">
        <v>30.0</v>
      </c>
      <c r="M55" s="9">
        <v>168.0</v>
      </c>
      <c r="N55" s="12">
        <f t="shared" si="3"/>
        <v>0.3392857143</v>
      </c>
      <c r="O55" s="12">
        <f t="shared" si="4"/>
        <v>0.4130434783</v>
      </c>
      <c r="P55" s="13">
        <f t="shared" si="5"/>
        <v>660000</v>
      </c>
      <c r="Q55" s="9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 ht="12.75" hidden="1" customHeight="1">
      <c r="A56" s="8">
        <v>46023.0</v>
      </c>
      <c r="B56" s="9" t="s">
        <v>17</v>
      </c>
      <c r="C56" s="9" t="s">
        <v>39</v>
      </c>
      <c r="D56" s="9" t="s">
        <v>46</v>
      </c>
      <c r="E56" s="9" t="s">
        <v>20</v>
      </c>
      <c r="F56" s="9">
        <v>13.0</v>
      </c>
      <c r="G56" s="10">
        <v>9.2</v>
      </c>
      <c r="H56" s="10">
        <v>2.0</v>
      </c>
      <c r="I56" s="11">
        <f t="shared" si="9"/>
        <v>122.85</v>
      </c>
      <c r="J56" s="9">
        <v>209.0</v>
      </c>
      <c r="K56" s="9">
        <f t="shared" si="2"/>
        <v>226</v>
      </c>
      <c r="L56" s="17">
        <v>88.0</v>
      </c>
      <c r="M56" s="9">
        <v>280.0</v>
      </c>
      <c r="N56" s="12">
        <f t="shared" si="3"/>
        <v>0.43875</v>
      </c>
      <c r="O56" s="12">
        <f t="shared" si="4"/>
        <v>0.5435840708</v>
      </c>
      <c r="P56" s="13">
        <f t="shared" si="5"/>
        <v>1936000</v>
      </c>
      <c r="Q56" s="9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 ht="12.75" hidden="1" customHeight="1">
      <c r="A57" s="8">
        <v>46023.0</v>
      </c>
      <c r="B57" s="9" t="s">
        <v>17</v>
      </c>
      <c r="C57" s="9" t="s">
        <v>39</v>
      </c>
      <c r="D57" s="9" t="s">
        <v>47</v>
      </c>
      <c r="E57" s="9" t="s">
        <v>20</v>
      </c>
      <c r="F57" s="9">
        <v>6.0</v>
      </c>
      <c r="G57" s="10">
        <f>20736/3600</f>
        <v>5.76</v>
      </c>
      <c r="H57" s="10">
        <v>1.0</v>
      </c>
      <c r="I57" s="11">
        <f t="shared" si="9"/>
        <v>36.06</v>
      </c>
      <c r="J57" s="9">
        <v>31.0</v>
      </c>
      <c r="K57" s="9">
        <f t="shared" si="2"/>
        <v>31</v>
      </c>
      <c r="L57" s="17">
        <v>4.0</v>
      </c>
      <c r="M57" s="9">
        <v>35.0</v>
      </c>
      <c r="N57" s="12">
        <f t="shared" si="3"/>
        <v>1.030285714</v>
      </c>
      <c r="O57" s="12">
        <f t="shared" si="4"/>
        <v>1.163225806</v>
      </c>
      <c r="P57" s="13">
        <f t="shared" si="5"/>
        <v>88000</v>
      </c>
      <c r="Q57" s="9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 ht="12.75" hidden="1" customHeight="1">
      <c r="A58" s="8">
        <v>46023.0</v>
      </c>
      <c r="B58" s="9" t="s">
        <v>17</v>
      </c>
      <c r="C58" s="9" t="s">
        <v>18</v>
      </c>
      <c r="D58" s="9" t="s">
        <v>56</v>
      </c>
      <c r="E58" s="9" t="s">
        <v>20</v>
      </c>
      <c r="F58" s="9">
        <v>6.0</v>
      </c>
      <c r="G58" s="10"/>
      <c r="H58" s="10"/>
      <c r="I58" s="11">
        <v>64.0</v>
      </c>
      <c r="J58" s="9">
        <v>68.0</v>
      </c>
      <c r="K58" s="9">
        <f t="shared" si="2"/>
        <v>104</v>
      </c>
      <c r="L58" s="9">
        <v>49.0</v>
      </c>
      <c r="M58" s="9">
        <v>153.0</v>
      </c>
      <c r="N58" s="12">
        <f t="shared" si="3"/>
        <v>0.4183006536</v>
      </c>
      <c r="O58" s="12">
        <f t="shared" si="4"/>
        <v>0.6153846154</v>
      </c>
      <c r="P58" s="13">
        <f t="shared" si="5"/>
        <v>1078000</v>
      </c>
      <c r="Q58" s="9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 ht="12.75" hidden="1" customHeight="1">
      <c r="A59" s="8">
        <v>46023.0</v>
      </c>
      <c r="B59" s="9" t="s">
        <v>17</v>
      </c>
      <c r="C59" s="9" t="s">
        <v>18</v>
      </c>
      <c r="D59" s="9" t="s">
        <v>24</v>
      </c>
      <c r="E59" s="9" t="s">
        <v>20</v>
      </c>
      <c r="F59" s="9">
        <v>1.0</v>
      </c>
      <c r="G59" s="10"/>
      <c r="H59" s="10"/>
      <c r="I59" s="11">
        <v>7.0</v>
      </c>
      <c r="J59" s="9">
        <v>15.0</v>
      </c>
      <c r="K59" s="9">
        <f t="shared" si="2"/>
        <v>37</v>
      </c>
      <c r="L59" s="9">
        <v>0.0</v>
      </c>
      <c r="M59" s="9">
        <v>37.0</v>
      </c>
      <c r="N59" s="12">
        <f t="shared" si="3"/>
        <v>0.1891891892</v>
      </c>
      <c r="O59" s="12">
        <f t="shared" si="4"/>
        <v>0.1891891892</v>
      </c>
      <c r="P59" s="13">
        <f t="shared" si="5"/>
        <v>0</v>
      </c>
      <c r="Q59" s="9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 ht="12.75" hidden="1" customHeight="1">
      <c r="A60" s="8">
        <v>45992.0</v>
      </c>
      <c r="B60" s="9" t="s">
        <v>17</v>
      </c>
      <c r="C60" s="9" t="s">
        <v>18</v>
      </c>
      <c r="D60" s="9" t="s">
        <v>57</v>
      </c>
      <c r="E60" s="9" t="s">
        <v>20</v>
      </c>
      <c r="F60" s="9">
        <v>4.0</v>
      </c>
      <c r="G60" s="10"/>
      <c r="H60" s="10"/>
      <c r="I60" s="11">
        <f>(G60*F60)+0.25*F60</f>
        <v>1</v>
      </c>
      <c r="J60" s="9">
        <v>43.0</v>
      </c>
      <c r="K60" s="9">
        <f t="shared" si="2"/>
        <v>110</v>
      </c>
      <c r="L60" s="9">
        <v>68.0</v>
      </c>
      <c r="M60" s="9">
        <v>178.0</v>
      </c>
      <c r="N60" s="12">
        <f t="shared" si="3"/>
        <v>0.005617977528</v>
      </c>
      <c r="O60" s="12">
        <f t="shared" si="4"/>
        <v>0.009090909091</v>
      </c>
      <c r="P60" s="13">
        <f t="shared" si="5"/>
        <v>1496000</v>
      </c>
      <c r="Q60" s="9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 ht="12.75" hidden="1" customHeight="1">
      <c r="A61" s="8">
        <v>46023.0</v>
      </c>
      <c r="B61" s="9" t="s">
        <v>17</v>
      </c>
      <c r="C61" s="9" t="s">
        <v>18</v>
      </c>
      <c r="D61" s="9" t="s">
        <v>57</v>
      </c>
      <c r="E61" s="9" t="s">
        <v>20</v>
      </c>
      <c r="F61" s="9">
        <v>5.0</v>
      </c>
      <c r="G61" s="10"/>
      <c r="H61" s="10"/>
      <c r="I61" s="11">
        <v>28.0</v>
      </c>
      <c r="J61" s="9">
        <v>38.0</v>
      </c>
      <c r="K61" s="9">
        <f t="shared" si="2"/>
        <v>138</v>
      </c>
      <c r="L61" s="9">
        <v>10.0</v>
      </c>
      <c r="M61" s="9">
        <v>148.0</v>
      </c>
      <c r="N61" s="12">
        <f t="shared" si="3"/>
        <v>0.1891891892</v>
      </c>
      <c r="O61" s="12">
        <f t="shared" si="4"/>
        <v>0.2028985507</v>
      </c>
      <c r="P61" s="13">
        <f t="shared" si="5"/>
        <v>220000</v>
      </c>
      <c r="Q61" s="9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 ht="12.75" hidden="1" customHeight="1">
      <c r="A62" s="8">
        <v>46023.0</v>
      </c>
      <c r="B62" s="9" t="s">
        <v>35</v>
      </c>
      <c r="C62" s="9" t="s">
        <v>36</v>
      </c>
      <c r="D62" s="9" t="s">
        <v>37</v>
      </c>
      <c r="E62" s="9" t="s">
        <v>20</v>
      </c>
      <c r="F62" s="9">
        <v>115.0</v>
      </c>
      <c r="G62" s="10"/>
      <c r="H62" s="10">
        <v>6.0</v>
      </c>
      <c r="I62" s="11">
        <v>611.0</v>
      </c>
      <c r="J62" s="9">
        <v>312.0</v>
      </c>
      <c r="K62" s="9">
        <f t="shared" si="2"/>
        <v>873</v>
      </c>
      <c r="L62" s="9">
        <v>18.0</v>
      </c>
      <c r="M62" s="9">
        <v>891.0</v>
      </c>
      <c r="N62" s="12">
        <f t="shared" si="3"/>
        <v>0.6857463524</v>
      </c>
      <c r="O62" s="12">
        <f t="shared" si="4"/>
        <v>0.6998854525</v>
      </c>
      <c r="P62" s="13">
        <f t="shared" si="5"/>
        <v>396000</v>
      </c>
      <c r="Q62" s="9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 ht="12.75" hidden="1" customHeight="1">
      <c r="A63" s="8">
        <v>46082.0</v>
      </c>
      <c r="B63" s="9" t="s">
        <v>35</v>
      </c>
      <c r="C63" s="9" t="s">
        <v>49</v>
      </c>
      <c r="D63" s="9" t="s">
        <v>50</v>
      </c>
      <c r="E63" s="15" t="s">
        <v>22</v>
      </c>
      <c r="F63" s="9">
        <v>170.0</v>
      </c>
      <c r="G63" s="10"/>
      <c r="H63" s="10">
        <v>8.0</v>
      </c>
      <c r="I63" s="11">
        <v>822.0</v>
      </c>
      <c r="J63" s="9">
        <v>818.0</v>
      </c>
      <c r="K63" s="9">
        <f t="shared" si="2"/>
        <v>1032</v>
      </c>
      <c r="L63" s="9">
        <v>869.0</v>
      </c>
      <c r="M63" s="9">
        <f>1553+(8*10)-8*20</f>
        <v>1473</v>
      </c>
      <c r="N63" s="12">
        <f t="shared" si="3"/>
        <v>0.5580448065</v>
      </c>
      <c r="O63" s="12">
        <f t="shared" si="4"/>
        <v>0.7965116279</v>
      </c>
      <c r="P63" s="13">
        <f t="shared" si="5"/>
        <v>19118000</v>
      </c>
      <c r="Q63" s="9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 ht="12.75" customHeight="1">
      <c r="A64" s="8">
        <v>46113.0</v>
      </c>
      <c r="B64" s="9" t="s">
        <v>58</v>
      </c>
      <c r="C64" s="9" t="s">
        <v>59</v>
      </c>
      <c r="D64" s="18" t="s">
        <v>60</v>
      </c>
      <c r="E64" s="9" t="s">
        <v>20</v>
      </c>
      <c r="F64" s="9">
        <v>17.0</v>
      </c>
      <c r="G64" s="10">
        <f t="shared" ref="G64:G65" si="10">2.75*2</f>
        <v>5.5</v>
      </c>
      <c r="H64" s="10">
        <v>2.0</v>
      </c>
      <c r="I64" s="11">
        <f t="shared" ref="I64:I65" si="11">(G64*F64)+0.25*F64</f>
        <v>97.75</v>
      </c>
      <c r="J64" s="9">
        <v>134.0</v>
      </c>
      <c r="K64" s="9">
        <f t="shared" si="2"/>
        <v>187</v>
      </c>
      <c r="L64" s="9">
        <v>0.0</v>
      </c>
      <c r="M64" s="9">
        <f>80+18+17-12+71+15+9-11</f>
        <v>187</v>
      </c>
      <c r="N64" s="12">
        <f t="shared" si="3"/>
        <v>0.5227272727</v>
      </c>
      <c r="O64" s="12">
        <f t="shared" si="4"/>
        <v>0.5227272727</v>
      </c>
      <c r="P64" s="13">
        <f t="shared" si="5"/>
        <v>0</v>
      </c>
      <c r="Q64" s="15" t="s">
        <v>61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</row>
    <row r="65" ht="12.75" customHeight="1">
      <c r="A65" s="8">
        <v>46113.0</v>
      </c>
      <c r="B65" s="9" t="s">
        <v>58</v>
      </c>
      <c r="C65" s="9" t="s">
        <v>59</v>
      </c>
      <c r="D65" s="18" t="s">
        <v>62</v>
      </c>
      <c r="E65" s="9" t="s">
        <v>20</v>
      </c>
      <c r="F65" s="9">
        <v>17.0</v>
      </c>
      <c r="G65" s="10">
        <f t="shared" si="10"/>
        <v>5.5</v>
      </c>
      <c r="H65" s="10">
        <v>2.0</v>
      </c>
      <c r="I65" s="11">
        <f t="shared" si="11"/>
        <v>97.75</v>
      </c>
      <c r="J65" s="9">
        <v>145.0</v>
      </c>
      <c r="K65" s="9">
        <f t="shared" si="2"/>
        <v>170.5</v>
      </c>
      <c r="L65" s="9">
        <v>3.0</v>
      </c>
      <c r="M65" s="9">
        <f>80+4.5+9-11+80+12+10-11</f>
        <v>173.5</v>
      </c>
      <c r="N65" s="12">
        <f t="shared" si="3"/>
        <v>0.5634005764</v>
      </c>
      <c r="O65" s="12">
        <f t="shared" si="4"/>
        <v>0.573313783</v>
      </c>
      <c r="P65" s="13">
        <f t="shared" si="5"/>
        <v>66000</v>
      </c>
      <c r="Q65" s="15" t="s">
        <v>63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</row>
    <row r="66" ht="12.75" hidden="1" customHeight="1">
      <c r="A66" s="8">
        <v>45992.0</v>
      </c>
      <c r="B66" s="9" t="s">
        <v>35</v>
      </c>
      <c r="C66" s="9" t="s">
        <v>64</v>
      </c>
      <c r="D66" s="9" t="s">
        <v>65</v>
      </c>
      <c r="E66" s="9" t="s">
        <v>22</v>
      </c>
      <c r="F66" s="9">
        <v>167.0</v>
      </c>
      <c r="G66" s="10"/>
      <c r="H66" s="10">
        <v>3.0</v>
      </c>
      <c r="I66" s="11">
        <v>476.95</v>
      </c>
      <c r="J66" s="9">
        <v>510.0</v>
      </c>
      <c r="K66" s="9">
        <f t="shared" si="2"/>
        <v>514</v>
      </c>
      <c r="L66" s="9">
        <v>63.0</v>
      </c>
      <c r="M66" s="9">
        <v>569.0</v>
      </c>
      <c r="N66" s="12">
        <f t="shared" si="3"/>
        <v>0.8382249561</v>
      </c>
      <c r="O66" s="12">
        <f t="shared" si="4"/>
        <v>0.9279182879</v>
      </c>
      <c r="P66" s="13">
        <f t="shared" si="5"/>
        <v>1386000</v>
      </c>
      <c r="Q66" s="9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 ht="12.75" hidden="1" customHeight="1">
      <c r="A67" s="8">
        <v>46023.0</v>
      </c>
      <c r="B67" s="9" t="s">
        <v>35</v>
      </c>
      <c r="C67" s="9" t="s">
        <v>64</v>
      </c>
      <c r="D67" s="9" t="s">
        <v>65</v>
      </c>
      <c r="E67" s="9" t="s">
        <v>22</v>
      </c>
      <c r="F67" s="9">
        <v>119.0</v>
      </c>
      <c r="G67" s="10"/>
      <c r="H67" s="10">
        <v>3.0</v>
      </c>
      <c r="I67" s="11">
        <v>371.0</v>
      </c>
      <c r="J67" s="9">
        <v>382.0</v>
      </c>
      <c r="K67" s="9">
        <f t="shared" si="2"/>
        <v>406</v>
      </c>
      <c r="L67" s="9">
        <v>26.0</v>
      </c>
      <c r="M67" s="9">
        <v>384.0</v>
      </c>
      <c r="N67" s="12">
        <f t="shared" si="3"/>
        <v>0.9661458333</v>
      </c>
      <c r="O67" s="12">
        <f t="shared" si="4"/>
        <v>0.9137931034</v>
      </c>
      <c r="P67" s="13">
        <f t="shared" si="5"/>
        <v>572000</v>
      </c>
      <c r="Q67" s="9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 ht="12.75" hidden="1" customHeight="1">
      <c r="A68" s="8">
        <v>46054.0</v>
      </c>
      <c r="B68" s="9" t="s">
        <v>35</v>
      </c>
      <c r="C68" s="9" t="s">
        <v>64</v>
      </c>
      <c r="D68" s="9" t="s">
        <v>65</v>
      </c>
      <c r="E68" s="9" t="s">
        <v>22</v>
      </c>
      <c r="F68" s="9">
        <v>204.0</v>
      </c>
      <c r="G68" s="10"/>
      <c r="H68" s="10">
        <v>3.0</v>
      </c>
      <c r="I68" s="11">
        <v>628.0</v>
      </c>
      <c r="J68" s="9">
        <v>639.0</v>
      </c>
      <c r="K68" s="9">
        <f t="shared" si="2"/>
        <v>732</v>
      </c>
      <c r="L68" s="9">
        <v>39.0</v>
      </c>
      <c r="M68" s="9">
        <v>585.0</v>
      </c>
      <c r="N68" s="12">
        <f t="shared" si="3"/>
        <v>1.073504274</v>
      </c>
      <c r="O68" s="12">
        <f t="shared" si="4"/>
        <v>0.8579234973</v>
      </c>
      <c r="P68" s="13">
        <f t="shared" si="5"/>
        <v>858000</v>
      </c>
      <c r="Q68" s="9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 ht="12.75" hidden="1" customHeight="1">
      <c r="A69" s="8">
        <v>46023.0</v>
      </c>
      <c r="B69" s="9" t="s">
        <v>17</v>
      </c>
      <c r="C69" s="9" t="s">
        <v>39</v>
      </c>
      <c r="D69" s="9" t="s">
        <v>48</v>
      </c>
      <c r="E69" s="9" t="s">
        <v>20</v>
      </c>
      <c r="F69" s="9">
        <v>11.0</v>
      </c>
      <c r="G69" s="10">
        <v>10.04</v>
      </c>
      <c r="H69" s="10">
        <v>2.0</v>
      </c>
      <c r="I69" s="11">
        <f>(G69*F69)+0.25*F69</f>
        <v>113.19</v>
      </c>
      <c r="J69" s="9">
        <v>123.0</v>
      </c>
      <c r="K69" s="9">
        <f t="shared" si="2"/>
        <v>234</v>
      </c>
      <c r="L69" s="17">
        <v>25.0</v>
      </c>
      <c r="M69" s="9">
        <v>259.0</v>
      </c>
      <c r="N69" s="12">
        <f t="shared" si="3"/>
        <v>0.437027027</v>
      </c>
      <c r="O69" s="12">
        <f t="shared" si="4"/>
        <v>0.4837179487</v>
      </c>
      <c r="P69" s="13">
        <f t="shared" si="5"/>
        <v>550000</v>
      </c>
      <c r="Q69" s="9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 ht="12.75" hidden="1" customHeight="1">
      <c r="A70" s="8">
        <v>46082.0</v>
      </c>
      <c r="B70" s="9" t="s">
        <v>35</v>
      </c>
      <c r="C70" s="9" t="s">
        <v>64</v>
      </c>
      <c r="D70" s="9" t="s">
        <v>65</v>
      </c>
      <c r="E70" s="15" t="s">
        <v>22</v>
      </c>
      <c r="F70" s="9">
        <v>213.0</v>
      </c>
      <c r="G70" s="10"/>
      <c r="H70" s="10">
        <v>3.0</v>
      </c>
      <c r="I70" s="11">
        <v>633.0</v>
      </c>
      <c r="J70" s="9">
        <v>724.0</v>
      </c>
      <c r="K70" s="9">
        <f t="shared" si="2"/>
        <v>758.5</v>
      </c>
      <c r="L70" s="9">
        <v>47.0</v>
      </c>
      <c r="M70" s="9">
        <f>301+145+300.5+129-70</f>
        <v>805.5</v>
      </c>
      <c r="N70" s="12">
        <f t="shared" si="3"/>
        <v>0.7858472998</v>
      </c>
      <c r="O70" s="12">
        <f t="shared" si="4"/>
        <v>0.8345418589</v>
      </c>
      <c r="P70" s="13">
        <f t="shared" si="5"/>
        <v>1034000</v>
      </c>
      <c r="Q70" s="9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 ht="12.75" hidden="1" customHeight="1">
      <c r="A71" s="8">
        <v>46023.0</v>
      </c>
      <c r="B71" s="9" t="s">
        <v>17</v>
      </c>
      <c r="C71" s="9" t="s">
        <v>39</v>
      </c>
      <c r="D71" s="9" t="s">
        <v>51</v>
      </c>
      <c r="E71" s="9" t="s">
        <v>20</v>
      </c>
      <c r="F71" s="9">
        <v>15.0</v>
      </c>
      <c r="G71" s="10">
        <v>4.33</v>
      </c>
      <c r="H71" s="10">
        <v>1.0</v>
      </c>
      <c r="I71" s="11">
        <f t="shared" ref="I71:I73" si="12">(G71*F71)+0.25*F71</f>
        <v>68.7</v>
      </c>
      <c r="J71" s="9">
        <v>65.0</v>
      </c>
      <c r="K71" s="9">
        <f t="shared" si="2"/>
        <v>68</v>
      </c>
      <c r="L71" s="17">
        <v>45.0</v>
      </c>
      <c r="M71" s="9">
        <v>107.0</v>
      </c>
      <c r="N71" s="12">
        <f t="shared" si="3"/>
        <v>0.6420560748</v>
      </c>
      <c r="O71" s="12">
        <f t="shared" si="4"/>
        <v>1.010294118</v>
      </c>
      <c r="P71" s="13">
        <f t="shared" si="5"/>
        <v>990000</v>
      </c>
      <c r="Q71" s="9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 ht="12.75" hidden="1" customHeight="1">
      <c r="A72" s="8">
        <v>46023.0</v>
      </c>
      <c r="B72" s="9" t="s">
        <v>17</v>
      </c>
      <c r="C72" s="9" t="s">
        <v>39</v>
      </c>
      <c r="D72" s="9" t="s">
        <v>52</v>
      </c>
      <c r="E72" s="9" t="s">
        <v>20</v>
      </c>
      <c r="F72" s="9">
        <v>10.0</v>
      </c>
      <c r="G72" s="10">
        <v>4.6</v>
      </c>
      <c r="H72" s="10">
        <v>1.0</v>
      </c>
      <c r="I72" s="11">
        <f t="shared" si="12"/>
        <v>48.5</v>
      </c>
      <c r="J72" s="9">
        <v>36.0</v>
      </c>
      <c r="K72" s="9">
        <f t="shared" si="2"/>
        <v>36</v>
      </c>
      <c r="L72" s="17">
        <v>33.0</v>
      </c>
      <c r="M72" s="9">
        <v>69.0</v>
      </c>
      <c r="N72" s="12">
        <f t="shared" si="3"/>
        <v>0.7028985507</v>
      </c>
      <c r="O72" s="12">
        <f t="shared" si="4"/>
        <v>1.347222222</v>
      </c>
      <c r="P72" s="13">
        <f t="shared" si="5"/>
        <v>726000</v>
      </c>
      <c r="Q72" s="9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 ht="12.75" hidden="1" customHeight="1">
      <c r="A73" s="8">
        <v>46023.0</v>
      </c>
      <c r="B73" s="9" t="s">
        <v>17</v>
      </c>
      <c r="C73" s="9" t="s">
        <v>39</v>
      </c>
      <c r="D73" s="9" t="s">
        <v>53</v>
      </c>
      <c r="E73" s="9" t="s">
        <v>20</v>
      </c>
      <c r="F73" s="9">
        <v>9.0</v>
      </c>
      <c r="G73" s="10">
        <v>4.66</v>
      </c>
      <c r="H73" s="10">
        <v>1.0</v>
      </c>
      <c r="I73" s="11">
        <f t="shared" si="12"/>
        <v>44.19</v>
      </c>
      <c r="J73" s="9">
        <v>49.0</v>
      </c>
      <c r="K73" s="9">
        <f t="shared" si="2"/>
        <v>103.5</v>
      </c>
      <c r="L73" s="17">
        <v>5.5</v>
      </c>
      <c r="M73" s="9">
        <v>109.0</v>
      </c>
      <c r="N73" s="12">
        <f t="shared" si="3"/>
        <v>0.405412844</v>
      </c>
      <c r="O73" s="12">
        <f t="shared" si="4"/>
        <v>0.4269565217</v>
      </c>
      <c r="P73" s="13">
        <f t="shared" si="5"/>
        <v>121000</v>
      </c>
      <c r="Q73" s="9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 ht="12.75" hidden="1" customHeight="1">
      <c r="A74" s="8">
        <v>46054.0</v>
      </c>
      <c r="B74" s="9" t="s">
        <v>26</v>
      </c>
      <c r="C74" s="9" t="s">
        <v>27</v>
      </c>
      <c r="D74" s="9" t="s">
        <v>54</v>
      </c>
      <c r="E74" s="9" t="s">
        <v>20</v>
      </c>
      <c r="F74" s="9">
        <v>23.0</v>
      </c>
      <c r="G74" s="10"/>
      <c r="H74" s="10">
        <v>1.0</v>
      </c>
      <c r="I74" s="11">
        <v>52.0</v>
      </c>
      <c r="J74" s="9">
        <v>56.0</v>
      </c>
      <c r="K74" s="9">
        <f t="shared" si="2"/>
        <v>87</v>
      </c>
      <c r="L74" s="9">
        <v>76.0</v>
      </c>
      <c r="M74" s="9">
        <v>101.0</v>
      </c>
      <c r="N74" s="12">
        <f t="shared" si="3"/>
        <v>0.5148514851</v>
      </c>
      <c r="O74" s="12">
        <f t="shared" si="4"/>
        <v>0.5977011494</v>
      </c>
      <c r="P74" s="13">
        <f t="shared" si="5"/>
        <v>1672000</v>
      </c>
      <c r="Q74" s="9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 ht="12.75" hidden="1" customHeight="1">
      <c r="A75" s="8">
        <v>46054.0</v>
      </c>
      <c r="B75" s="9" t="s">
        <v>26</v>
      </c>
      <c r="C75" s="9" t="s">
        <v>27</v>
      </c>
      <c r="D75" s="9" t="s">
        <v>28</v>
      </c>
      <c r="E75" s="9" t="s">
        <v>20</v>
      </c>
      <c r="F75" s="9">
        <v>29.0</v>
      </c>
      <c r="G75" s="10"/>
      <c r="H75" s="10">
        <v>1.0</v>
      </c>
      <c r="I75" s="11">
        <v>123.0</v>
      </c>
      <c r="J75" s="9">
        <v>168.0</v>
      </c>
      <c r="K75" s="9">
        <f t="shared" si="2"/>
        <v>177</v>
      </c>
      <c r="L75" s="9">
        <v>32.0</v>
      </c>
      <c r="M75" s="9">
        <v>191.0</v>
      </c>
      <c r="N75" s="12">
        <f t="shared" si="3"/>
        <v>0.6439790576</v>
      </c>
      <c r="O75" s="12">
        <f t="shared" si="4"/>
        <v>0.6949152542</v>
      </c>
      <c r="P75" s="13">
        <f t="shared" si="5"/>
        <v>704000</v>
      </c>
      <c r="Q75" s="9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 ht="12.75" hidden="1" customHeight="1">
      <c r="A76" s="8">
        <v>46054.0</v>
      </c>
      <c r="B76" s="9" t="s">
        <v>26</v>
      </c>
      <c r="C76" s="9" t="s">
        <v>27</v>
      </c>
      <c r="D76" s="9" t="s">
        <v>29</v>
      </c>
      <c r="E76" s="9" t="s">
        <v>20</v>
      </c>
      <c r="F76" s="9">
        <v>16.0</v>
      </c>
      <c r="G76" s="10"/>
      <c r="H76" s="10">
        <v>1.0</v>
      </c>
      <c r="I76" s="11">
        <v>104.0</v>
      </c>
      <c r="J76" s="9">
        <v>154.0</v>
      </c>
      <c r="K76" s="9">
        <f t="shared" si="2"/>
        <v>164</v>
      </c>
      <c r="L76" s="9">
        <v>14.0</v>
      </c>
      <c r="M76" s="9">
        <v>158.0</v>
      </c>
      <c r="N76" s="12">
        <f t="shared" si="3"/>
        <v>0.6582278481</v>
      </c>
      <c r="O76" s="12">
        <f t="shared" si="4"/>
        <v>0.6341463415</v>
      </c>
      <c r="P76" s="13">
        <f t="shared" si="5"/>
        <v>308000</v>
      </c>
      <c r="Q76" s="9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 ht="12.75" hidden="1" customHeight="1">
      <c r="A77" s="8">
        <v>46054.0</v>
      </c>
      <c r="B77" s="9" t="s">
        <v>26</v>
      </c>
      <c r="C77" s="9" t="s">
        <v>27</v>
      </c>
      <c r="D77" s="9" t="s">
        <v>30</v>
      </c>
      <c r="E77" s="9" t="s">
        <v>20</v>
      </c>
      <c r="F77" s="9">
        <v>14.0</v>
      </c>
      <c r="G77" s="10"/>
      <c r="H77" s="10">
        <v>1.0</v>
      </c>
      <c r="I77" s="11">
        <v>91.0</v>
      </c>
      <c r="J77" s="9">
        <v>125.0</v>
      </c>
      <c r="K77" s="9">
        <f t="shared" si="2"/>
        <v>129</v>
      </c>
      <c r="L77" s="9">
        <v>18.0</v>
      </c>
      <c r="M77" s="9">
        <v>139.0</v>
      </c>
      <c r="N77" s="12">
        <f t="shared" si="3"/>
        <v>0.654676259</v>
      </c>
      <c r="O77" s="12">
        <f t="shared" si="4"/>
        <v>0.7054263566</v>
      </c>
      <c r="P77" s="13">
        <f t="shared" si="5"/>
        <v>396000</v>
      </c>
      <c r="Q77" s="9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 ht="12.75" hidden="1" customHeight="1">
      <c r="A78" s="8">
        <v>46054.0</v>
      </c>
      <c r="B78" s="9" t="s">
        <v>26</v>
      </c>
      <c r="C78" s="9" t="s">
        <v>27</v>
      </c>
      <c r="D78" s="9" t="s">
        <v>31</v>
      </c>
      <c r="E78" s="9" t="s">
        <v>20</v>
      </c>
      <c r="F78" s="9">
        <v>24.0</v>
      </c>
      <c r="G78" s="10"/>
      <c r="H78" s="10">
        <v>1.0</v>
      </c>
      <c r="I78" s="11">
        <v>78.0</v>
      </c>
      <c r="J78" s="9">
        <v>104.0</v>
      </c>
      <c r="K78" s="9">
        <f t="shared" si="2"/>
        <v>116</v>
      </c>
      <c r="L78" s="9">
        <v>31.0</v>
      </c>
      <c r="M78" s="9">
        <v>123.0</v>
      </c>
      <c r="N78" s="12">
        <f t="shared" si="3"/>
        <v>0.6341463415</v>
      </c>
      <c r="O78" s="12">
        <f t="shared" si="4"/>
        <v>0.6724137931</v>
      </c>
      <c r="P78" s="13">
        <f t="shared" si="5"/>
        <v>682000</v>
      </c>
      <c r="Q78" s="9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 ht="12.75" hidden="1" customHeight="1">
      <c r="A79" s="8">
        <v>46054.0</v>
      </c>
      <c r="B79" s="9" t="s">
        <v>26</v>
      </c>
      <c r="C79" s="9" t="s">
        <v>27</v>
      </c>
      <c r="D79" s="9" t="s">
        <v>32</v>
      </c>
      <c r="E79" s="9" t="s">
        <v>20</v>
      </c>
      <c r="F79" s="9">
        <v>27.0</v>
      </c>
      <c r="G79" s="10"/>
      <c r="H79" s="10">
        <v>1.0</v>
      </c>
      <c r="I79" s="11">
        <v>69.0</v>
      </c>
      <c r="J79" s="9">
        <v>81.0</v>
      </c>
      <c r="K79" s="9">
        <f t="shared" si="2"/>
        <v>89</v>
      </c>
      <c r="L79" s="9">
        <v>31.0</v>
      </c>
      <c r="M79" s="9">
        <v>120.0</v>
      </c>
      <c r="N79" s="12">
        <f t="shared" si="3"/>
        <v>0.575</v>
      </c>
      <c r="O79" s="12">
        <f t="shared" si="4"/>
        <v>0.7752808989</v>
      </c>
      <c r="P79" s="13">
        <f t="shared" si="5"/>
        <v>682000</v>
      </c>
      <c r="Q79" s="9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 ht="12.75" hidden="1" customHeight="1">
      <c r="A80" s="8">
        <v>46054.0</v>
      </c>
      <c r="B80" s="9" t="s">
        <v>26</v>
      </c>
      <c r="C80" s="9" t="s">
        <v>27</v>
      </c>
      <c r="D80" s="9" t="s">
        <v>33</v>
      </c>
      <c r="E80" s="9" t="s">
        <v>20</v>
      </c>
      <c r="F80" s="9">
        <v>39.0</v>
      </c>
      <c r="G80" s="10"/>
      <c r="H80" s="10">
        <v>1.0</v>
      </c>
      <c r="I80" s="11">
        <v>94.0</v>
      </c>
      <c r="J80" s="9">
        <v>120.0</v>
      </c>
      <c r="K80" s="9">
        <f t="shared" si="2"/>
        <v>127</v>
      </c>
      <c r="L80" s="9">
        <v>51.0</v>
      </c>
      <c r="M80" s="9">
        <v>164.0</v>
      </c>
      <c r="N80" s="12">
        <f t="shared" si="3"/>
        <v>0.5731707317</v>
      </c>
      <c r="O80" s="12">
        <f t="shared" si="4"/>
        <v>0.7401574803</v>
      </c>
      <c r="P80" s="13">
        <f t="shared" si="5"/>
        <v>1122000</v>
      </c>
      <c r="Q80" s="9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 ht="12.75" hidden="1" customHeight="1">
      <c r="A81" s="8">
        <v>45992.0</v>
      </c>
      <c r="B81" s="9" t="s">
        <v>35</v>
      </c>
      <c r="C81" s="9" t="s">
        <v>66</v>
      </c>
      <c r="D81" s="9" t="s">
        <v>67</v>
      </c>
      <c r="E81" s="15" t="s">
        <v>20</v>
      </c>
      <c r="F81" s="9">
        <v>37.0</v>
      </c>
      <c r="G81" s="10"/>
      <c r="H81" s="10">
        <v>4.0</v>
      </c>
      <c r="I81" s="11">
        <v>339.4</v>
      </c>
      <c r="J81" s="9">
        <v>424.0</v>
      </c>
      <c r="K81" s="9">
        <f t="shared" si="2"/>
        <v>500</v>
      </c>
      <c r="L81" s="9">
        <v>82.0</v>
      </c>
      <c r="M81" s="9">
        <v>582.0</v>
      </c>
      <c r="N81" s="12">
        <f t="shared" si="3"/>
        <v>0.583161512</v>
      </c>
      <c r="O81" s="12">
        <f t="shared" si="4"/>
        <v>0.6788</v>
      </c>
      <c r="P81" s="13">
        <f t="shared" si="5"/>
        <v>1804000</v>
      </c>
      <c r="Q81" s="9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 ht="12.75" hidden="1" customHeight="1">
      <c r="A82" s="8">
        <v>46023.0</v>
      </c>
      <c r="B82" s="9" t="s">
        <v>35</v>
      </c>
      <c r="C82" s="9" t="s">
        <v>66</v>
      </c>
      <c r="D82" s="9" t="s">
        <v>67</v>
      </c>
      <c r="E82" s="15" t="s">
        <v>20</v>
      </c>
      <c r="F82" s="9">
        <v>48.0</v>
      </c>
      <c r="G82" s="10"/>
      <c r="H82" s="10">
        <v>4.0</v>
      </c>
      <c r="I82" s="11">
        <v>523.0</v>
      </c>
      <c r="J82" s="9">
        <v>382.0</v>
      </c>
      <c r="K82" s="9">
        <f t="shared" si="2"/>
        <v>423</v>
      </c>
      <c r="L82" s="9">
        <v>25.0</v>
      </c>
      <c r="M82" s="9">
        <v>448.0</v>
      </c>
      <c r="N82" s="12">
        <f t="shared" si="3"/>
        <v>1.167410714</v>
      </c>
      <c r="O82" s="12">
        <f t="shared" si="4"/>
        <v>1.236406619</v>
      </c>
      <c r="P82" s="13">
        <f t="shared" si="5"/>
        <v>550000</v>
      </c>
      <c r="Q82" s="9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 ht="12.75" hidden="1" customHeight="1">
      <c r="A83" s="8">
        <v>46054.0</v>
      </c>
      <c r="B83" s="9" t="s">
        <v>17</v>
      </c>
      <c r="C83" s="9" t="s">
        <v>39</v>
      </c>
      <c r="D83" s="9" t="s">
        <v>40</v>
      </c>
      <c r="E83" s="9" t="s">
        <v>20</v>
      </c>
      <c r="F83" s="9">
        <v>24.0</v>
      </c>
      <c r="G83" s="10">
        <v>9.2</v>
      </c>
      <c r="H83" s="10">
        <v>2.0</v>
      </c>
      <c r="I83" s="11">
        <f t="shared" ref="I83:I90" si="13">(G83*F83)+0.25*F83</f>
        <v>226.8</v>
      </c>
      <c r="J83" s="9">
        <v>226.0</v>
      </c>
      <c r="K83" s="9">
        <f t="shared" si="2"/>
        <v>254</v>
      </c>
      <c r="L83" s="17">
        <v>72.0</v>
      </c>
      <c r="M83" s="9">
        <v>326.0</v>
      </c>
      <c r="N83" s="12">
        <f t="shared" si="3"/>
        <v>0.6957055215</v>
      </c>
      <c r="O83" s="12">
        <f t="shared" si="4"/>
        <v>0.8929133858</v>
      </c>
      <c r="P83" s="13">
        <f t="shared" si="5"/>
        <v>1584000</v>
      </c>
      <c r="Q83" s="9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 ht="12.75" hidden="1" customHeight="1">
      <c r="A84" s="8">
        <v>46054.0</v>
      </c>
      <c r="B84" s="9" t="s">
        <v>17</v>
      </c>
      <c r="C84" s="9" t="s">
        <v>39</v>
      </c>
      <c r="D84" s="9" t="s">
        <v>41</v>
      </c>
      <c r="E84" s="9" t="s">
        <v>20</v>
      </c>
      <c r="F84" s="9">
        <v>28.0</v>
      </c>
      <c r="G84" s="10">
        <v>7.61</v>
      </c>
      <c r="H84" s="10">
        <v>2.0</v>
      </c>
      <c r="I84" s="11">
        <f t="shared" si="13"/>
        <v>220.08</v>
      </c>
      <c r="J84" s="9">
        <v>316.0</v>
      </c>
      <c r="K84" s="9">
        <f t="shared" si="2"/>
        <v>326</v>
      </c>
      <c r="L84" s="17">
        <v>62.0</v>
      </c>
      <c r="M84" s="9">
        <v>368.0</v>
      </c>
      <c r="N84" s="12">
        <f t="shared" si="3"/>
        <v>0.5980434783</v>
      </c>
      <c r="O84" s="12">
        <f t="shared" si="4"/>
        <v>0.6750920245</v>
      </c>
      <c r="P84" s="13">
        <f t="shared" si="5"/>
        <v>1364000</v>
      </c>
      <c r="Q84" s="9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 ht="12.75" hidden="1" customHeight="1">
      <c r="A85" s="8">
        <v>46054.0</v>
      </c>
      <c r="B85" s="9" t="s">
        <v>17</v>
      </c>
      <c r="C85" s="9" t="s">
        <v>39</v>
      </c>
      <c r="D85" s="9" t="s">
        <v>42</v>
      </c>
      <c r="E85" s="9" t="s">
        <v>20</v>
      </c>
      <c r="F85" s="9">
        <v>24.0</v>
      </c>
      <c r="G85" s="10">
        <v>12.98</v>
      </c>
      <c r="H85" s="10">
        <v>3.0</v>
      </c>
      <c r="I85" s="11">
        <f t="shared" si="13"/>
        <v>317.52</v>
      </c>
      <c r="J85" s="9">
        <v>487.0</v>
      </c>
      <c r="K85" s="9">
        <f t="shared" si="2"/>
        <v>505</v>
      </c>
      <c r="L85" s="17">
        <v>67.0</v>
      </c>
      <c r="M85" s="9">
        <v>536.0</v>
      </c>
      <c r="N85" s="12">
        <f t="shared" si="3"/>
        <v>0.5923880597</v>
      </c>
      <c r="O85" s="12">
        <f t="shared" si="4"/>
        <v>0.6287524752</v>
      </c>
      <c r="P85" s="13">
        <f t="shared" si="5"/>
        <v>1474000</v>
      </c>
      <c r="Q85" s="9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 ht="12.75" hidden="1" customHeight="1">
      <c r="A86" s="8">
        <v>46054.0</v>
      </c>
      <c r="B86" s="9" t="s">
        <v>17</v>
      </c>
      <c r="C86" s="9" t="s">
        <v>39</v>
      </c>
      <c r="D86" s="9" t="s">
        <v>43</v>
      </c>
      <c r="E86" s="9" t="s">
        <v>20</v>
      </c>
      <c r="F86" s="9">
        <v>22.0</v>
      </c>
      <c r="G86" s="10">
        <v>4.69</v>
      </c>
      <c r="H86" s="10">
        <v>1.0</v>
      </c>
      <c r="I86" s="11">
        <f t="shared" si="13"/>
        <v>108.68</v>
      </c>
      <c r="J86" s="9">
        <v>181.0</v>
      </c>
      <c r="K86" s="9">
        <f t="shared" si="2"/>
        <v>196</v>
      </c>
      <c r="L86" s="17">
        <v>2.0</v>
      </c>
      <c r="M86" s="9">
        <v>198.0</v>
      </c>
      <c r="N86" s="12">
        <f t="shared" si="3"/>
        <v>0.5488888889</v>
      </c>
      <c r="O86" s="12">
        <f t="shared" si="4"/>
        <v>0.5544897959</v>
      </c>
      <c r="P86" s="13">
        <f t="shared" si="5"/>
        <v>44000</v>
      </c>
      <c r="Q86" s="9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 ht="12.75" hidden="1" customHeight="1">
      <c r="A87" s="8">
        <v>46054.0</v>
      </c>
      <c r="B87" s="9" t="s">
        <v>17</v>
      </c>
      <c r="C87" s="9" t="s">
        <v>39</v>
      </c>
      <c r="D87" s="9" t="s">
        <v>44</v>
      </c>
      <c r="E87" s="9" t="s">
        <v>20</v>
      </c>
      <c r="F87" s="9">
        <v>21.0</v>
      </c>
      <c r="G87" s="10">
        <v>4.61</v>
      </c>
      <c r="H87" s="10">
        <v>1.0</v>
      </c>
      <c r="I87" s="11">
        <f t="shared" si="13"/>
        <v>102.06</v>
      </c>
      <c r="J87" s="9">
        <v>144.0</v>
      </c>
      <c r="K87" s="9">
        <f t="shared" si="2"/>
        <v>150</v>
      </c>
      <c r="L87" s="17">
        <v>33.0</v>
      </c>
      <c r="M87" s="9">
        <v>171.0</v>
      </c>
      <c r="N87" s="12">
        <f t="shared" si="3"/>
        <v>0.5968421053</v>
      </c>
      <c r="O87" s="12">
        <f t="shared" si="4"/>
        <v>0.6804</v>
      </c>
      <c r="P87" s="13">
        <f t="shared" si="5"/>
        <v>726000</v>
      </c>
      <c r="Q87" s="9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 ht="12.75" hidden="1" customHeight="1">
      <c r="A88" s="8">
        <v>46054.0</v>
      </c>
      <c r="B88" s="9" t="s">
        <v>17</v>
      </c>
      <c r="C88" s="9" t="s">
        <v>39</v>
      </c>
      <c r="D88" s="9" t="s">
        <v>45</v>
      </c>
      <c r="E88" s="9" t="s">
        <v>20</v>
      </c>
      <c r="F88" s="9">
        <v>16.0</v>
      </c>
      <c r="G88" s="10">
        <v>4.5</v>
      </c>
      <c r="H88" s="10">
        <v>1.0</v>
      </c>
      <c r="I88" s="11">
        <f t="shared" si="13"/>
        <v>76</v>
      </c>
      <c r="J88" s="9">
        <v>147.0</v>
      </c>
      <c r="K88" s="9">
        <f t="shared" si="2"/>
        <v>166</v>
      </c>
      <c r="L88" s="17">
        <v>34.0</v>
      </c>
      <c r="M88" s="9">
        <v>162.0</v>
      </c>
      <c r="N88" s="12">
        <f t="shared" si="3"/>
        <v>0.4691358025</v>
      </c>
      <c r="O88" s="12">
        <f t="shared" si="4"/>
        <v>0.4578313253</v>
      </c>
      <c r="P88" s="13">
        <f t="shared" si="5"/>
        <v>748000</v>
      </c>
      <c r="Q88" s="9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 ht="12.75" hidden="1" customHeight="1">
      <c r="A89" s="8">
        <v>46054.0</v>
      </c>
      <c r="B89" s="9" t="s">
        <v>17</v>
      </c>
      <c r="C89" s="9" t="s">
        <v>39</v>
      </c>
      <c r="D89" s="9" t="s">
        <v>46</v>
      </c>
      <c r="E89" s="9" t="s">
        <v>20</v>
      </c>
      <c r="F89" s="9">
        <v>19.0</v>
      </c>
      <c r="G89" s="10">
        <v>9.2</v>
      </c>
      <c r="H89" s="10">
        <v>2.0</v>
      </c>
      <c r="I89" s="11">
        <f t="shared" si="13"/>
        <v>179.55</v>
      </c>
      <c r="J89" s="9">
        <v>285.0</v>
      </c>
      <c r="K89" s="9">
        <f t="shared" si="2"/>
        <v>383</v>
      </c>
      <c r="L89" s="17">
        <v>104.0</v>
      </c>
      <c r="M89" s="9">
        <v>291.0</v>
      </c>
      <c r="N89" s="12">
        <f t="shared" si="3"/>
        <v>0.6170103093</v>
      </c>
      <c r="O89" s="12">
        <f t="shared" si="4"/>
        <v>0.4687989556</v>
      </c>
      <c r="P89" s="13">
        <f t="shared" si="5"/>
        <v>2288000</v>
      </c>
      <c r="Q89" s="9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 ht="12.75" hidden="1" customHeight="1">
      <c r="A90" s="8">
        <v>46054.0</v>
      </c>
      <c r="B90" s="9" t="s">
        <v>17</v>
      </c>
      <c r="C90" s="9" t="s">
        <v>39</v>
      </c>
      <c r="D90" s="9" t="s">
        <v>47</v>
      </c>
      <c r="E90" s="9" t="s">
        <v>20</v>
      </c>
      <c r="F90" s="9">
        <v>24.0</v>
      </c>
      <c r="G90" s="10">
        <f>20736/3600</f>
        <v>5.76</v>
      </c>
      <c r="H90" s="10">
        <v>1.0</v>
      </c>
      <c r="I90" s="11">
        <f t="shared" si="13"/>
        <v>144.24</v>
      </c>
      <c r="J90" s="9">
        <v>158.0</v>
      </c>
      <c r="K90" s="9">
        <f t="shared" si="2"/>
        <v>159</v>
      </c>
      <c r="L90" s="17">
        <v>33.0</v>
      </c>
      <c r="M90" s="9">
        <v>190.0</v>
      </c>
      <c r="N90" s="12">
        <f t="shared" si="3"/>
        <v>0.7591578947</v>
      </c>
      <c r="O90" s="12">
        <f t="shared" si="4"/>
        <v>0.9071698113</v>
      </c>
      <c r="P90" s="13">
        <f t="shared" si="5"/>
        <v>726000</v>
      </c>
      <c r="Q90" s="9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 ht="12.75" hidden="1" customHeight="1">
      <c r="A91" s="8">
        <v>46054.0</v>
      </c>
      <c r="B91" s="9" t="s">
        <v>35</v>
      </c>
      <c r="C91" s="9" t="s">
        <v>36</v>
      </c>
      <c r="D91" s="9" t="s">
        <v>37</v>
      </c>
      <c r="E91" s="9" t="s">
        <v>20</v>
      </c>
      <c r="F91" s="9">
        <v>219.0</v>
      </c>
      <c r="G91" s="10"/>
      <c r="H91" s="10">
        <v>6.0</v>
      </c>
      <c r="I91" s="11">
        <v>1094.0</v>
      </c>
      <c r="J91" s="9">
        <v>571.0</v>
      </c>
      <c r="K91" s="9">
        <f t="shared" si="2"/>
        <v>1089</v>
      </c>
      <c r="L91" s="9">
        <v>41.0</v>
      </c>
      <c r="M91" s="9">
        <v>1130.0</v>
      </c>
      <c r="N91" s="12">
        <f t="shared" si="3"/>
        <v>0.9681415929</v>
      </c>
      <c r="O91" s="12">
        <f t="shared" si="4"/>
        <v>1.004591368</v>
      </c>
      <c r="P91" s="13">
        <f t="shared" si="5"/>
        <v>902000</v>
      </c>
      <c r="Q91" s="9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 ht="12.75" hidden="1" customHeight="1">
      <c r="A92" s="8">
        <v>46054.0</v>
      </c>
      <c r="B92" s="9" t="s">
        <v>35</v>
      </c>
      <c r="C92" s="9" t="s">
        <v>66</v>
      </c>
      <c r="D92" s="9" t="s">
        <v>67</v>
      </c>
      <c r="E92" s="15" t="s">
        <v>20</v>
      </c>
      <c r="F92" s="9">
        <v>52.0</v>
      </c>
      <c r="G92" s="10"/>
      <c r="H92" s="10">
        <v>4.0</v>
      </c>
      <c r="I92" s="11">
        <v>569.0</v>
      </c>
      <c r="J92" s="9">
        <v>626.0</v>
      </c>
      <c r="K92" s="9">
        <f t="shared" si="2"/>
        <v>670</v>
      </c>
      <c r="L92" s="9">
        <v>50.0</v>
      </c>
      <c r="M92" s="9">
        <v>720.0</v>
      </c>
      <c r="N92" s="12">
        <f t="shared" si="3"/>
        <v>0.7902777778</v>
      </c>
      <c r="O92" s="12">
        <f t="shared" si="4"/>
        <v>0.8492537313</v>
      </c>
      <c r="P92" s="13">
        <f t="shared" si="5"/>
        <v>1100000</v>
      </c>
      <c r="Q92" s="9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 ht="12.75" hidden="1" customHeight="1">
      <c r="A93" s="8">
        <v>46082.0</v>
      </c>
      <c r="B93" s="9" t="s">
        <v>35</v>
      </c>
      <c r="C93" s="9" t="s">
        <v>66</v>
      </c>
      <c r="D93" s="9" t="s">
        <v>67</v>
      </c>
      <c r="E93" s="15" t="s">
        <v>20</v>
      </c>
      <c r="F93" s="9">
        <v>48.0</v>
      </c>
      <c r="G93" s="10"/>
      <c r="H93" s="10">
        <v>4.0</v>
      </c>
      <c r="I93" s="11">
        <v>496.0</v>
      </c>
      <c r="J93" s="9">
        <v>496.0</v>
      </c>
      <c r="K93" s="9">
        <f t="shared" si="2"/>
        <v>603.5</v>
      </c>
      <c r="L93" s="9">
        <v>58.0</v>
      </c>
      <c r="M93" s="9">
        <f>185.5+208+209+129-70</f>
        <v>661.5</v>
      </c>
      <c r="N93" s="12">
        <f t="shared" si="3"/>
        <v>0.7498110355</v>
      </c>
      <c r="O93" s="12">
        <f t="shared" si="4"/>
        <v>0.8218724109</v>
      </c>
      <c r="P93" s="13">
        <f t="shared" si="5"/>
        <v>1276000</v>
      </c>
      <c r="Q93" s="9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 ht="12.75" hidden="1" customHeight="1">
      <c r="A94" s="8">
        <v>45992.0</v>
      </c>
      <c r="B94" s="9" t="s">
        <v>35</v>
      </c>
      <c r="C94" s="9" t="s">
        <v>66</v>
      </c>
      <c r="D94" s="9" t="s">
        <v>68</v>
      </c>
      <c r="E94" s="15" t="s">
        <v>20</v>
      </c>
      <c r="F94" s="9">
        <v>53.0</v>
      </c>
      <c r="G94" s="10"/>
      <c r="H94" s="10">
        <v>4.0</v>
      </c>
      <c r="I94" s="11">
        <v>575.6</v>
      </c>
      <c r="J94" s="9">
        <v>447.0</v>
      </c>
      <c r="K94" s="9">
        <f t="shared" si="2"/>
        <v>524</v>
      </c>
      <c r="L94" s="9">
        <v>95.0</v>
      </c>
      <c r="M94" s="9">
        <v>619.0</v>
      </c>
      <c r="N94" s="12">
        <f t="shared" si="3"/>
        <v>0.9298869144</v>
      </c>
      <c r="O94" s="12">
        <f t="shared" si="4"/>
        <v>1.098473282</v>
      </c>
      <c r="P94" s="13">
        <f t="shared" si="5"/>
        <v>2090000</v>
      </c>
      <c r="Q94" s="9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 ht="12.75" hidden="1" customHeight="1">
      <c r="A95" s="8">
        <v>46023.0</v>
      </c>
      <c r="B95" s="9" t="s">
        <v>35</v>
      </c>
      <c r="C95" s="9" t="s">
        <v>66</v>
      </c>
      <c r="D95" s="9" t="s">
        <v>68</v>
      </c>
      <c r="E95" s="15" t="s">
        <v>20</v>
      </c>
      <c r="F95" s="9">
        <v>40.0</v>
      </c>
      <c r="G95" s="10"/>
      <c r="H95" s="10">
        <v>4.0</v>
      </c>
      <c r="I95" s="11">
        <v>444.0</v>
      </c>
      <c r="J95" s="9">
        <v>314.0</v>
      </c>
      <c r="K95" s="9">
        <f t="shared" si="2"/>
        <v>513</v>
      </c>
      <c r="L95" s="9">
        <v>19.0</v>
      </c>
      <c r="M95" s="9">
        <v>532.0</v>
      </c>
      <c r="N95" s="12">
        <f t="shared" si="3"/>
        <v>0.8345864662</v>
      </c>
      <c r="O95" s="12">
        <f t="shared" si="4"/>
        <v>0.865497076</v>
      </c>
      <c r="P95" s="13">
        <f t="shared" si="5"/>
        <v>418000</v>
      </c>
      <c r="Q95" s="9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 ht="12.75" hidden="1" customHeight="1">
      <c r="A96" s="8">
        <v>46054.0</v>
      </c>
      <c r="B96" s="9" t="s">
        <v>35</v>
      </c>
      <c r="C96" s="9" t="s">
        <v>66</v>
      </c>
      <c r="D96" s="9" t="s">
        <v>68</v>
      </c>
      <c r="E96" s="15" t="s">
        <v>20</v>
      </c>
      <c r="F96" s="9">
        <v>64.0</v>
      </c>
      <c r="G96" s="10"/>
      <c r="H96" s="10">
        <v>4.0</v>
      </c>
      <c r="I96" s="11">
        <v>664.0</v>
      </c>
      <c r="J96" s="9">
        <v>583.0</v>
      </c>
      <c r="K96" s="9">
        <f t="shared" si="2"/>
        <v>593</v>
      </c>
      <c r="L96" s="9">
        <v>47.0</v>
      </c>
      <c r="M96" s="9">
        <v>640.0</v>
      </c>
      <c r="N96" s="12">
        <f t="shared" si="3"/>
        <v>1.0375</v>
      </c>
      <c r="O96" s="12">
        <f t="shared" si="4"/>
        <v>1.119730185</v>
      </c>
      <c r="P96" s="13">
        <f t="shared" si="5"/>
        <v>1034000</v>
      </c>
      <c r="Q96" s="9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 ht="12.75" hidden="1" customHeight="1">
      <c r="A97" s="8">
        <v>46082.0</v>
      </c>
      <c r="B97" s="9" t="s">
        <v>35</v>
      </c>
      <c r="C97" s="9" t="s">
        <v>66</v>
      </c>
      <c r="D97" s="9" t="s">
        <v>68</v>
      </c>
      <c r="E97" s="15" t="s">
        <v>20</v>
      </c>
      <c r="F97" s="9">
        <v>66.0</v>
      </c>
      <c r="G97" s="10"/>
      <c r="H97" s="10">
        <v>4.0</v>
      </c>
      <c r="I97" s="11">
        <v>757.0</v>
      </c>
      <c r="J97" s="9">
        <v>644.0</v>
      </c>
      <c r="K97" s="9">
        <f t="shared" si="2"/>
        <v>651</v>
      </c>
      <c r="L97" s="9">
        <v>51.0</v>
      </c>
      <c r="M97" s="9">
        <f>166+244+215.5+156.5-80</f>
        <v>702</v>
      </c>
      <c r="N97" s="12">
        <f t="shared" si="3"/>
        <v>1.078347578</v>
      </c>
      <c r="O97" s="12">
        <f t="shared" si="4"/>
        <v>1.162826421</v>
      </c>
      <c r="P97" s="13">
        <f t="shared" si="5"/>
        <v>1122000</v>
      </c>
      <c r="Q97" s="9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 ht="12.75" hidden="1" customHeight="1">
      <c r="A98" s="8">
        <v>46054.0</v>
      </c>
      <c r="B98" s="9" t="s">
        <v>17</v>
      </c>
      <c r="C98" s="9" t="s">
        <v>39</v>
      </c>
      <c r="D98" s="9" t="s">
        <v>48</v>
      </c>
      <c r="E98" s="9" t="s">
        <v>20</v>
      </c>
      <c r="F98" s="9">
        <v>23.0</v>
      </c>
      <c r="G98" s="10">
        <v>10.04</v>
      </c>
      <c r="H98" s="10">
        <v>2.0</v>
      </c>
      <c r="I98" s="11">
        <f>(G98*F98)+0.25*F98</f>
        <v>236.67</v>
      </c>
      <c r="J98" s="9">
        <v>254.0</v>
      </c>
      <c r="K98" s="9">
        <f t="shared" si="2"/>
        <v>267</v>
      </c>
      <c r="L98" s="17">
        <v>207.0</v>
      </c>
      <c r="M98" s="9">
        <v>474.0</v>
      </c>
      <c r="N98" s="12">
        <f t="shared" si="3"/>
        <v>0.4993037975</v>
      </c>
      <c r="O98" s="12">
        <f t="shared" si="4"/>
        <v>0.8864044944</v>
      </c>
      <c r="P98" s="13">
        <f t="shared" si="5"/>
        <v>4554000</v>
      </c>
      <c r="Q98" s="9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 ht="12.75" hidden="1" customHeight="1">
      <c r="A99" s="8">
        <v>45992.0</v>
      </c>
      <c r="B99" s="9" t="s">
        <v>35</v>
      </c>
      <c r="C99" s="9" t="s">
        <v>66</v>
      </c>
      <c r="D99" s="9" t="s">
        <v>69</v>
      </c>
      <c r="E99" s="15" t="s">
        <v>20</v>
      </c>
      <c r="F99" s="9">
        <v>59.0</v>
      </c>
      <c r="G99" s="10"/>
      <c r="H99" s="10">
        <v>4.0</v>
      </c>
      <c r="I99" s="11">
        <v>518.8</v>
      </c>
      <c r="J99" s="9">
        <v>318.0</v>
      </c>
      <c r="K99" s="9">
        <f t="shared" si="2"/>
        <v>517</v>
      </c>
      <c r="L99" s="9">
        <v>87.0</v>
      </c>
      <c r="M99" s="9">
        <v>604.0</v>
      </c>
      <c r="N99" s="12">
        <f t="shared" si="3"/>
        <v>0.8589403974</v>
      </c>
      <c r="O99" s="12">
        <f t="shared" si="4"/>
        <v>1.003481625</v>
      </c>
      <c r="P99" s="13">
        <f t="shared" si="5"/>
        <v>1914000</v>
      </c>
      <c r="Q99" s="9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 ht="12.75" hidden="1" customHeight="1">
      <c r="A100" s="8">
        <v>46054.0</v>
      </c>
      <c r="B100" s="9" t="s">
        <v>17</v>
      </c>
      <c r="C100" s="9" t="s">
        <v>39</v>
      </c>
      <c r="D100" s="9" t="s">
        <v>51</v>
      </c>
      <c r="E100" s="9" t="s">
        <v>20</v>
      </c>
      <c r="F100" s="9">
        <v>23.0</v>
      </c>
      <c r="G100" s="10">
        <v>4.33</v>
      </c>
      <c r="H100" s="10">
        <v>1.0</v>
      </c>
      <c r="I100" s="11">
        <f t="shared" ref="I100:I102" si="14">(G100*F100)+0.25*F100</f>
        <v>105.34</v>
      </c>
      <c r="J100" s="9">
        <v>99.0</v>
      </c>
      <c r="K100" s="9">
        <f t="shared" si="2"/>
        <v>100</v>
      </c>
      <c r="L100" s="17">
        <v>103.0</v>
      </c>
      <c r="M100" s="9">
        <v>203.0</v>
      </c>
      <c r="N100" s="12">
        <f t="shared" si="3"/>
        <v>0.5189162562</v>
      </c>
      <c r="O100" s="12">
        <f t="shared" si="4"/>
        <v>1.0534</v>
      </c>
      <c r="P100" s="13">
        <f t="shared" si="5"/>
        <v>2266000</v>
      </c>
      <c r="Q100" s="9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 ht="12.75" hidden="1" customHeight="1">
      <c r="A101" s="8">
        <v>46054.0</v>
      </c>
      <c r="B101" s="9" t="s">
        <v>17</v>
      </c>
      <c r="C101" s="9" t="s">
        <v>39</v>
      </c>
      <c r="D101" s="9" t="s">
        <v>52</v>
      </c>
      <c r="E101" s="9" t="s">
        <v>20</v>
      </c>
      <c r="F101" s="9">
        <v>24.0</v>
      </c>
      <c r="G101" s="10">
        <v>4.6</v>
      </c>
      <c r="H101" s="10">
        <v>1.0</v>
      </c>
      <c r="I101" s="11">
        <f t="shared" si="14"/>
        <v>116.4</v>
      </c>
      <c r="J101" s="9">
        <v>115.0</v>
      </c>
      <c r="K101" s="9">
        <f t="shared" si="2"/>
        <v>133</v>
      </c>
      <c r="L101" s="17">
        <v>54.0</v>
      </c>
      <c r="M101" s="9">
        <v>151.0</v>
      </c>
      <c r="N101" s="12">
        <f t="shared" si="3"/>
        <v>0.7708609272</v>
      </c>
      <c r="O101" s="12">
        <f t="shared" si="4"/>
        <v>0.8751879699</v>
      </c>
      <c r="P101" s="13">
        <f t="shared" si="5"/>
        <v>1188000</v>
      </c>
      <c r="Q101" s="9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 ht="12.75" hidden="1" customHeight="1">
      <c r="A102" s="8">
        <v>46054.0</v>
      </c>
      <c r="B102" s="9" t="s">
        <v>17</v>
      </c>
      <c r="C102" s="9" t="s">
        <v>39</v>
      </c>
      <c r="D102" s="9" t="s">
        <v>53</v>
      </c>
      <c r="E102" s="9" t="s">
        <v>20</v>
      </c>
      <c r="F102" s="9">
        <v>25.0</v>
      </c>
      <c r="G102" s="10">
        <v>4.66</v>
      </c>
      <c r="H102" s="10">
        <v>1.0</v>
      </c>
      <c r="I102" s="11">
        <f t="shared" si="14"/>
        <v>122.75</v>
      </c>
      <c r="J102" s="9">
        <v>133.0</v>
      </c>
      <c r="K102" s="9">
        <f t="shared" si="2"/>
        <v>142</v>
      </c>
      <c r="L102" s="17">
        <v>12.0</v>
      </c>
      <c r="M102" s="9">
        <v>154.0</v>
      </c>
      <c r="N102" s="12">
        <f t="shared" si="3"/>
        <v>0.7970779221</v>
      </c>
      <c r="O102" s="12">
        <f t="shared" si="4"/>
        <v>0.8644366197</v>
      </c>
      <c r="P102" s="13">
        <f t="shared" si="5"/>
        <v>264000</v>
      </c>
      <c r="Q102" s="9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 ht="12.75" hidden="1" customHeight="1">
      <c r="A103" s="8">
        <v>46082.0</v>
      </c>
      <c r="B103" s="9" t="s">
        <v>26</v>
      </c>
      <c r="C103" s="9" t="s">
        <v>27</v>
      </c>
      <c r="D103" s="9" t="s">
        <v>54</v>
      </c>
      <c r="E103" s="9" t="s">
        <v>20</v>
      </c>
      <c r="F103" s="9">
        <v>30.0</v>
      </c>
      <c r="G103" s="10"/>
      <c r="H103" s="10">
        <v>1.0</v>
      </c>
      <c r="I103" s="11">
        <v>67.5</v>
      </c>
      <c r="J103" s="9">
        <v>180.0</v>
      </c>
      <c r="K103" s="9">
        <f t="shared" si="2"/>
        <v>267</v>
      </c>
      <c r="L103" s="9">
        <v>55.0</v>
      </c>
      <c r="M103" s="9">
        <f>37-4+129-14</f>
        <v>148</v>
      </c>
      <c r="N103" s="12">
        <f t="shared" si="3"/>
        <v>0.4560810811</v>
      </c>
      <c r="O103" s="12">
        <f t="shared" si="4"/>
        <v>0.2528089888</v>
      </c>
      <c r="P103" s="13">
        <f t="shared" si="5"/>
        <v>1210000</v>
      </c>
      <c r="Q103" s="9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 ht="12.75" hidden="1" customHeight="1">
      <c r="A104" s="8">
        <v>46082.0</v>
      </c>
      <c r="B104" s="9" t="s">
        <v>26</v>
      </c>
      <c r="C104" s="9" t="s">
        <v>27</v>
      </c>
      <c r="D104" s="9" t="s">
        <v>28</v>
      </c>
      <c r="E104" s="9" t="s">
        <v>20</v>
      </c>
      <c r="F104" s="9">
        <v>42.0</v>
      </c>
      <c r="G104" s="10"/>
      <c r="H104" s="10">
        <v>1.0</v>
      </c>
      <c r="I104" s="11">
        <v>178.5</v>
      </c>
      <c r="J104" s="9">
        <v>218.0</v>
      </c>
      <c r="K104" s="9">
        <f t="shared" si="2"/>
        <v>232</v>
      </c>
      <c r="L104" s="9">
        <v>48.0</v>
      </c>
      <c r="M104" s="9">
        <f>272-20</f>
        <v>252</v>
      </c>
      <c r="N104" s="12">
        <f t="shared" si="3"/>
        <v>0.7083333333</v>
      </c>
      <c r="O104" s="12">
        <f t="shared" si="4"/>
        <v>0.7693965517</v>
      </c>
      <c r="P104" s="13">
        <f t="shared" si="5"/>
        <v>1056000</v>
      </c>
      <c r="Q104" s="9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 ht="12.75" hidden="1" customHeight="1">
      <c r="A105" s="8">
        <v>46082.0</v>
      </c>
      <c r="B105" s="9" t="s">
        <v>26</v>
      </c>
      <c r="C105" s="9" t="s">
        <v>27</v>
      </c>
      <c r="D105" s="9" t="s">
        <v>29</v>
      </c>
      <c r="E105" s="9" t="s">
        <v>20</v>
      </c>
      <c r="F105" s="9">
        <v>20.0</v>
      </c>
      <c r="G105" s="10"/>
      <c r="H105" s="10">
        <v>1.0</v>
      </c>
      <c r="I105" s="11">
        <v>130.33</v>
      </c>
      <c r="J105" s="9">
        <v>167.0</v>
      </c>
      <c r="K105" s="9">
        <f t="shared" si="2"/>
        <v>168</v>
      </c>
      <c r="L105" s="9">
        <v>48.0</v>
      </c>
      <c r="M105" s="9">
        <f>234-20</f>
        <v>214</v>
      </c>
      <c r="N105" s="12">
        <f t="shared" si="3"/>
        <v>0.6090186916</v>
      </c>
      <c r="O105" s="12">
        <f t="shared" si="4"/>
        <v>0.7757738095</v>
      </c>
      <c r="P105" s="13">
        <f t="shared" si="5"/>
        <v>1056000</v>
      </c>
      <c r="Q105" s="9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 ht="12.75" hidden="1" customHeight="1">
      <c r="A106" s="8">
        <v>46082.0</v>
      </c>
      <c r="B106" s="9" t="s">
        <v>26</v>
      </c>
      <c r="C106" s="9" t="s">
        <v>27</v>
      </c>
      <c r="D106" s="9" t="s">
        <v>30</v>
      </c>
      <c r="E106" s="9" t="s">
        <v>20</v>
      </c>
      <c r="F106" s="9">
        <v>20.0</v>
      </c>
      <c r="G106" s="10"/>
      <c r="H106" s="10">
        <v>1.0</v>
      </c>
      <c r="I106" s="11">
        <v>130.33</v>
      </c>
      <c r="J106" s="9">
        <v>176.0</v>
      </c>
      <c r="K106" s="9">
        <f t="shared" si="2"/>
        <v>195</v>
      </c>
      <c r="L106" s="9">
        <v>19.0</v>
      </c>
      <c r="M106" s="9">
        <f>204-20-8</f>
        <v>176</v>
      </c>
      <c r="N106" s="12">
        <f t="shared" si="3"/>
        <v>0.7405113636</v>
      </c>
      <c r="O106" s="12">
        <f t="shared" si="4"/>
        <v>0.6683589744</v>
      </c>
      <c r="P106" s="13">
        <f t="shared" si="5"/>
        <v>418000</v>
      </c>
      <c r="Q106" s="9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 ht="12.75" hidden="1" customHeight="1">
      <c r="A107" s="8">
        <v>46082.0</v>
      </c>
      <c r="B107" s="9" t="s">
        <v>26</v>
      </c>
      <c r="C107" s="9" t="s">
        <v>27</v>
      </c>
      <c r="D107" s="9" t="s">
        <v>31</v>
      </c>
      <c r="E107" s="9" t="s">
        <v>20</v>
      </c>
      <c r="F107" s="9">
        <v>35.0</v>
      </c>
      <c r="G107" s="10"/>
      <c r="H107" s="10">
        <v>1.0</v>
      </c>
      <c r="I107" s="11">
        <v>113.75</v>
      </c>
      <c r="J107" s="9">
        <v>158.0</v>
      </c>
      <c r="K107" s="9">
        <f t="shared" si="2"/>
        <v>171.5</v>
      </c>
      <c r="L107" s="9">
        <v>14.0</v>
      </c>
      <c r="M107" s="9">
        <f>62-6+20-3+132.5-20</f>
        <v>185.5</v>
      </c>
      <c r="N107" s="12">
        <f t="shared" si="3"/>
        <v>0.6132075472</v>
      </c>
      <c r="O107" s="12">
        <f t="shared" si="4"/>
        <v>0.6632653061</v>
      </c>
      <c r="P107" s="13">
        <f t="shared" si="5"/>
        <v>308000</v>
      </c>
      <c r="Q107" s="9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 ht="12.75" hidden="1" customHeight="1">
      <c r="A108" s="8">
        <v>46082.0</v>
      </c>
      <c r="B108" s="9" t="s">
        <v>26</v>
      </c>
      <c r="C108" s="9" t="s">
        <v>27</v>
      </c>
      <c r="D108" s="9" t="s">
        <v>32</v>
      </c>
      <c r="E108" s="9" t="s">
        <v>20</v>
      </c>
      <c r="F108" s="9">
        <v>26.0</v>
      </c>
      <c r="G108" s="10"/>
      <c r="H108" s="10">
        <v>1.0</v>
      </c>
      <c r="I108" s="11">
        <v>66.56</v>
      </c>
      <c r="J108" s="9">
        <v>133.0</v>
      </c>
      <c r="K108" s="9">
        <f t="shared" si="2"/>
        <v>146.5</v>
      </c>
      <c r="L108" s="9">
        <v>37.0</v>
      </c>
      <c r="M108" s="9">
        <f>168.5-20+8</f>
        <v>156.5</v>
      </c>
      <c r="N108" s="12">
        <f t="shared" si="3"/>
        <v>0.4253035144</v>
      </c>
      <c r="O108" s="12">
        <f t="shared" si="4"/>
        <v>0.454334471</v>
      </c>
      <c r="P108" s="13">
        <f t="shared" si="5"/>
        <v>814000</v>
      </c>
      <c r="Q108" s="9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 ht="12.75" hidden="1" customHeight="1">
      <c r="A109" s="8">
        <v>46082.0</v>
      </c>
      <c r="B109" s="9" t="s">
        <v>26</v>
      </c>
      <c r="C109" s="9" t="s">
        <v>27</v>
      </c>
      <c r="D109" s="9" t="s">
        <v>33</v>
      </c>
      <c r="E109" s="9" t="s">
        <v>20</v>
      </c>
      <c r="F109" s="9">
        <v>36.0</v>
      </c>
      <c r="G109" s="10"/>
      <c r="H109" s="10">
        <v>1.0</v>
      </c>
      <c r="I109" s="11">
        <v>86.4</v>
      </c>
      <c r="J109" s="9">
        <v>103.0</v>
      </c>
      <c r="K109" s="9">
        <f t="shared" si="2"/>
        <v>132</v>
      </c>
      <c r="L109" s="9">
        <v>67.0</v>
      </c>
      <c r="M109" s="9">
        <f>155-14</f>
        <v>141</v>
      </c>
      <c r="N109" s="12">
        <f t="shared" si="3"/>
        <v>0.6127659574</v>
      </c>
      <c r="O109" s="12">
        <f t="shared" si="4"/>
        <v>0.6545454545</v>
      </c>
      <c r="P109" s="13">
        <f t="shared" si="5"/>
        <v>1474000</v>
      </c>
      <c r="Q109" s="9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 ht="12.75" hidden="1" customHeight="1">
      <c r="A110" s="8">
        <v>46023.0</v>
      </c>
      <c r="B110" s="9" t="s">
        <v>35</v>
      </c>
      <c r="C110" s="9" t="s">
        <v>66</v>
      </c>
      <c r="D110" s="9" t="s">
        <v>69</v>
      </c>
      <c r="E110" s="15" t="s">
        <v>20</v>
      </c>
      <c r="F110" s="9">
        <v>51.0</v>
      </c>
      <c r="G110" s="10"/>
      <c r="H110" s="10">
        <v>4.0</v>
      </c>
      <c r="I110" s="11">
        <v>508.0</v>
      </c>
      <c r="J110" s="9">
        <v>379.0</v>
      </c>
      <c r="K110" s="9">
        <f t="shared" si="2"/>
        <v>436</v>
      </c>
      <c r="L110" s="9">
        <v>35.0</v>
      </c>
      <c r="M110" s="9">
        <v>471.0</v>
      </c>
      <c r="N110" s="12">
        <f t="shared" si="3"/>
        <v>1.078556263</v>
      </c>
      <c r="O110" s="12">
        <f t="shared" si="4"/>
        <v>1.165137615</v>
      </c>
      <c r="P110" s="13">
        <f t="shared" si="5"/>
        <v>770000</v>
      </c>
      <c r="Q110" s="9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 ht="12.75" hidden="1" customHeight="1">
      <c r="A111" s="8">
        <v>46054.0</v>
      </c>
      <c r="B111" s="9" t="s">
        <v>35</v>
      </c>
      <c r="C111" s="9" t="s">
        <v>66</v>
      </c>
      <c r="D111" s="9" t="s">
        <v>69</v>
      </c>
      <c r="E111" s="15" t="s">
        <v>20</v>
      </c>
      <c r="F111" s="9">
        <v>55.0</v>
      </c>
      <c r="G111" s="10"/>
      <c r="H111" s="10">
        <v>4.0</v>
      </c>
      <c r="I111" s="11">
        <v>561.0</v>
      </c>
      <c r="J111" s="9">
        <v>546.0</v>
      </c>
      <c r="K111" s="9">
        <f t="shared" si="2"/>
        <v>585</v>
      </c>
      <c r="L111" s="9">
        <v>49.0</v>
      </c>
      <c r="M111" s="9">
        <v>634.0</v>
      </c>
      <c r="N111" s="12">
        <f t="shared" si="3"/>
        <v>0.8848580442</v>
      </c>
      <c r="O111" s="12">
        <f t="shared" si="4"/>
        <v>0.958974359</v>
      </c>
      <c r="P111" s="13">
        <f t="shared" si="5"/>
        <v>1078000</v>
      </c>
      <c r="Q111" s="9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 ht="12.75" customHeight="1">
      <c r="A112" s="8">
        <v>46113.0</v>
      </c>
      <c r="B112" s="9" t="s">
        <v>58</v>
      </c>
      <c r="C112" s="9" t="s">
        <v>59</v>
      </c>
      <c r="D112" s="18" t="s">
        <v>70</v>
      </c>
      <c r="E112" s="9" t="s">
        <v>20</v>
      </c>
      <c r="F112" s="9">
        <v>16.0</v>
      </c>
      <c r="G112" s="10">
        <v>7.0</v>
      </c>
      <c r="H112" s="10">
        <v>2.0</v>
      </c>
      <c r="I112" s="11">
        <f t="shared" ref="I112:I115" si="15">(G112*F112)+0.25*F112</f>
        <v>116</v>
      </c>
      <c r="J112" s="9">
        <v>158.0</v>
      </c>
      <c r="K112" s="9">
        <f t="shared" si="2"/>
        <v>170</v>
      </c>
      <c r="L112" s="9">
        <v>48.0</v>
      </c>
      <c r="M112" s="9">
        <f>80+17+16-12+80+13+11-11</f>
        <v>194</v>
      </c>
      <c r="N112" s="12">
        <f t="shared" si="3"/>
        <v>0.5979381443</v>
      </c>
      <c r="O112" s="12">
        <f t="shared" si="4"/>
        <v>0.6823529412</v>
      </c>
      <c r="P112" s="13">
        <f t="shared" si="5"/>
        <v>1056000</v>
      </c>
      <c r="Q112" s="15" t="s">
        <v>71</v>
      </c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</row>
    <row r="113" ht="12.75" customHeight="1">
      <c r="A113" s="8">
        <v>46113.0</v>
      </c>
      <c r="B113" s="9" t="s">
        <v>58</v>
      </c>
      <c r="C113" s="9" t="s">
        <v>59</v>
      </c>
      <c r="D113" s="18" t="s">
        <v>72</v>
      </c>
      <c r="E113" s="9" t="s">
        <v>20</v>
      </c>
      <c r="F113" s="9">
        <v>16.0</v>
      </c>
      <c r="G113" s="10">
        <v>7.0</v>
      </c>
      <c r="H113" s="10">
        <v>2.0</v>
      </c>
      <c r="I113" s="11">
        <f t="shared" si="15"/>
        <v>116</v>
      </c>
      <c r="J113" s="9">
        <v>188.0</v>
      </c>
      <c r="K113" s="9">
        <f t="shared" si="2"/>
        <v>212</v>
      </c>
      <c r="L113" s="9">
        <v>25.0</v>
      </c>
      <c r="M113" s="9">
        <f>80+18+8+80+12+14-23</f>
        <v>189</v>
      </c>
      <c r="N113" s="12">
        <f t="shared" si="3"/>
        <v>0.6137566138</v>
      </c>
      <c r="O113" s="12">
        <f t="shared" si="4"/>
        <v>0.5471698113</v>
      </c>
      <c r="P113" s="13">
        <f t="shared" si="5"/>
        <v>550000</v>
      </c>
      <c r="Q113" s="15" t="s">
        <v>73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</row>
    <row r="114" ht="12.75" customHeight="1">
      <c r="A114" s="8">
        <v>46113.0</v>
      </c>
      <c r="B114" s="9" t="s">
        <v>58</v>
      </c>
      <c r="C114" s="9" t="s">
        <v>59</v>
      </c>
      <c r="D114" s="18" t="s">
        <v>74</v>
      </c>
      <c r="E114" s="15" t="s">
        <v>22</v>
      </c>
      <c r="F114" s="9">
        <v>17.0</v>
      </c>
      <c r="G114" s="10">
        <v>16.0</v>
      </c>
      <c r="H114" s="10">
        <v>4.0</v>
      </c>
      <c r="I114" s="11">
        <f t="shared" si="15"/>
        <v>276.25</v>
      </c>
      <c r="J114" s="9">
        <v>363.0</v>
      </c>
      <c r="K114" s="9">
        <f t="shared" si="2"/>
        <v>397.5</v>
      </c>
      <c r="L114" s="9">
        <v>53.0</v>
      </c>
      <c r="M114" s="9">
        <f>80+13+10-11+80+27.5+22-12+80+16+11-11+79+7-10</f>
        <v>381.5</v>
      </c>
      <c r="N114" s="12">
        <f t="shared" si="3"/>
        <v>0.7241153342</v>
      </c>
      <c r="O114" s="12">
        <f t="shared" si="4"/>
        <v>0.6949685535</v>
      </c>
      <c r="P114" s="13">
        <f t="shared" si="5"/>
        <v>1166000</v>
      </c>
      <c r="Q114" s="15" t="s">
        <v>75</v>
      </c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</row>
    <row r="115" ht="12.75" customHeight="1">
      <c r="A115" s="8">
        <v>46113.0</v>
      </c>
      <c r="B115" s="9" t="s">
        <v>58</v>
      </c>
      <c r="C115" s="9" t="s">
        <v>59</v>
      </c>
      <c r="D115" s="18" t="s">
        <v>76</v>
      </c>
      <c r="E115" s="9" t="s">
        <v>20</v>
      </c>
      <c r="F115" s="9">
        <v>16.0</v>
      </c>
      <c r="G115" s="10">
        <v>4.0</v>
      </c>
      <c r="H115" s="10">
        <v>1.0</v>
      </c>
      <c r="I115" s="11">
        <f t="shared" si="15"/>
        <v>68</v>
      </c>
      <c r="J115" s="9">
        <v>75.0</v>
      </c>
      <c r="K115" s="9">
        <f t="shared" si="2"/>
        <v>89</v>
      </c>
      <c r="L115" s="9">
        <v>1.0</v>
      </c>
      <c r="M115" s="9">
        <f>80+9+13-12</f>
        <v>90</v>
      </c>
      <c r="N115" s="12">
        <f t="shared" si="3"/>
        <v>0.7555555556</v>
      </c>
      <c r="O115" s="12">
        <f t="shared" si="4"/>
        <v>0.7640449438</v>
      </c>
      <c r="P115" s="13">
        <f t="shared" si="5"/>
        <v>22000</v>
      </c>
      <c r="Q115" s="15" t="s">
        <v>77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</row>
    <row r="116" ht="12.75" hidden="1" customHeight="1">
      <c r="A116" s="8">
        <v>46082.0</v>
      </c>
      <c r="B116" s="9" t="s">
        <v>35</v>
      </c>
      <c r="C116" s="9" t="s">
        <v>66</v>
      </c>
      <c r="D116" s="9" t="s">
        <v>69</v>
      </c>
      <c r="E116" s="15" t="s">
        <v>20</v>
      </c>
      <c r="F116" s="9">
        <v>78.0</v>
      </c>
      <c r="G116" s="10"/>
      <c r="H116" s="10">
        <v>4.0</v>
      </c>
      <c r="I116" s="11">
        <v>814.0</v>
      </c>
      <c r="J116" s="9">
        <v>734.0</v>
      </c>
      <c r="K116" s="9">
        <f t="shared" si="2"/>
        <v>765</v>
      </c>
      <c r="L116" s="9">
        <v>82.0</v>
      </c>
      <c r="M116" s="9">
        <f>254.5+274.5+199+199-80</f>
        <v>847</v>
      </c>
      <c r="N116" s="12">
        <f t="shared" si="3"/>
        <v>0.961038961</v>
      </c>
      <c r="O116" s="12">
        <f t="shared" si="4"/>
        <v>1.064052288</v>
      </c>
      <c r="P116" s="13">
        <f t="shared" si="5"/>
        <v>1804000</v>
      </c>
      <c r="Q116" s="9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 ht="12.75" customHeight="1">
      <c r="A117" s="8">
        <v>46113.0</v>
      </c>
      <c r="B117" s="9" t="s">
        <v>58</v>
      </c>
      <c r="C117" s="9" t="s">
        <v>59</v>
      </c>
      <c r="D117" s="18" t="s">
        <v>78</v>
      </c>
      <c r="E117" s="9" t="s">
        <v>20</v>
      </c>
      <c r="F117" s="9">
        <v>20.0</v>
      </c>
      <c r="G117" s="10">
        <f>+(600+1200+3000+3000+1200+1200+1200+1200)/3600</f>
        <v>3.5</v>
      </c>
      <c r="H117" s="10">
        <v>1.0</v>
      </c>
      <c r="I117" s="11">
        <f t="shared" ref="I117:I122" si="16">(G117*F117)+0.25*F117</f>
        <v>75</v>
      </c>
      <c r="J117" s="9">
        <v>98.0</v>
      </c>
      <c r="K117" s="9">
        <f t="shared" si="2"/>
        <v>137.2</v>
      </c>
      <c r="L117" s="9">
        <v>2.0</v>
      </c>
      <c r="M117" s="9">
        <f>80+49+22.2-12</f>
        <v>139.2</v>
      </c>
      <c r="N117" s="12">
        <f t="shared" si="3"/>
        <v>0.5387931034</v>
      </c>
      <c r="O117" s="12">
        <f t="shared" si="4"/>
        <v>0.5466472303</v>
      </c>
      <c r="P117" s="13">
        <f t="shared" si="5"/>
        <v>44000</v>
      </c>
      <c r="Q117" s="15" t="s">
        <v>79</v>
      </c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</row>
    <row r="118" ht="12.75" customHeight="1">
      <c r="A118" s="8">
        <v>46113.0</v>
      </c>
      <c r="B118" s="9" t="s">
        <v>58</v>
      </c>
      <c r="C118" s="9" t="s">
        <v>59</v>
      </c>
      <c r="D118" s="18" t="s">
        <v>80</v>
      </c>
      <c r="E118" s="9" t="s">
        <v>20</v>
      </c>
      <c r="F118" s="9">
        <v>17.0</v>
      </c>
      <c r="G118" s="10">
        <v>8.0</v>
      </c>
      <c r="H118" s="10">
        <v>2.0</v>
      </c>
      <c r="I118" s="11">
        <f t="shared" si="16"/>
        <v>140.25</v>
      </c>
      <c r="J118" s="9">
        <v>179.0</v>
      </c>
      <c r="K118" s="9">
        <f t="shared" si="2"/>
        <v>201.5</v>
      </c>
      <c r="L118" s="9">
        <v>2.0</v>
      </c>
      <c r="M118" s="9">
        <f>80+22.5+16-12+80+17+11-11</f>
        <v>203.5</v>
      </c>
      <c r="N118" s="12">
        <f t="shared" si="3"/>
        <v>0.6891891892</v>
      </c>
      <c r="O118" s="12">
        <f t="shared" si="4"/>
        <v>0.6960297767</v>
      </c>
      <c r="P118" s="13">
        <f t="shared" si="5"/>
        <v>44000</v>
      </c>
      <c r="Q118" s="15" t="s">
        <v>81</v>
      </c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</row>
    <row r="119" ht="12.75" customHeight="1">
      <c r="A119" s="8">
        <v>46113.0</v>
      </c>
      <c r="B119" s="9" t="s">
        <v>58</v>
      </c>
      <c r="C119" s="9" t="s">
        <v>59</v>
      </c>
      <c r="D119" s="18" t="s">
        <v>82</v>
      </c>
      <c r="E119" s="9" t="s">
        <v>20</v>
      </c>
      <c r="F119" s="9">
        <v>17.0</v>
      </c>
      <c r="G119" s="10">
        <v>5.0</v>
      </c>
      <c r="H119" s="10">
        <v>2.0</v>
      </c>
      <c r="I119" s="11">
        <f t="shared" si="16"/>
        <v>89.25</v>
      </c>
      <c r="J119" s="20">
        <v>98.0</v>
      </c>
      <c r="K119" s="9">
        <f t="shared" si="2"/>
        <v>112.5</v>
      </c>
      <c r="L119" s="9">
        <v>20.0</v>
      </c>
      <c r="M119" s="9">
        <f>(62+1+10-11+80+56+26-12)*0.625</f>
        <v>132.5</v>
      </c>
      <c r="N119" s="12">
        <f t="shared" si="3"/>
        <v>0.6735849057</v>
      </c>
      <c r="O119" s="12">
        <f t="shared" si="4"/>
        <v>0.7933333333</v>
      </c>
      <c r="P119" s="13">
        <f t="shared" si="5"/>
        <v>440000</v>
      </c>
      <c r="Q119" s="15" t="s">
        <v>83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</row>
    <row r="120" ht="12.75" customHeight="1">
      <c r="A120" s="8">
        <v>46113.0</v>
      </c>
      <c r="B120" s="9" t="s">
        <v>58</v>
      </c>
      <c r="C120" s="9" t="s">
        <v>59</v>
      </c>
      <c r="D120" s="18" t="s">
        <v>84</v>
      </c>
      <c r="E120" s="9" t="s">
        <v>22</v>
      </c>
      <c r="F120" s="9">
        <v>8.0</v>
      </c>
      <c r="G120" s="10">
        <v>3.0</v>
      </c>
      <c r="H120" s="10">
        <v>2.0</v>
      </c>
      <c r="I120" s="11">
        <f t="shared" si="16"/>
        <v>26</v>
      </c>
      <c r="J120" s="20">
        <v>60.0</v>
      </c>
      <c r="K120" s="9">
        <f t="shared" si="2"/>
        <v>68.5</v>
      </c>
      <c r="L120" s="9">
        <v>11.0</v>
      </c>
      <c r="M120" s="9">
        <f>212*0.375</f>
        <v>79.5</v>
      </c>
      <c r="N120" s="12">
        <f t="shared" si="3"/>
        <v>0.3270440252</v>
      </c>
      <c r="O120" s="12">
        <f t="shared" si="4"/>
        <v>0.3795620438</v>
      </c>
      <c r="P120" s="13">
        <f t="shared" si="5"/>
        <v>242000</v>
      </c>
      <c r="Q120" s="15" t="s">
        <v>83</v>
      </c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</row>
    <row r="121" ht="12.75" customHeight="1">
      <c r="A121" s="8">
        <v>46113.0</v>
      </c>
      <c r="B121" s="9" t="s">
        <v>58</v>
      </c>
      <c r="C121" s="9" t="s">
        <v>59</v>
      </c>
      <c r="D121" s="18" t="s">
        <v>85</v>
      </c>
      <c r="E121" s="9" t="s">
        <v>20</v>
      </c>
      <c r="F121" s="9">
        <v>65.0</v>
      </c>
      <c r="G121" s="10">
        <v>0.4</v>
      </c>
      <c r="H121" s="10">
        <v>2.0</v>
      </c>
      <c r="I121" s="11">
        <f t="shared" si="16"/>
        <v>42.25</v>
      </c>
      <c r="J121" s="9">
        <v>54.0</v>
      </c>
      <c r="K121" s="9">
        <f t="shared" si="2"/>
        <v>77</v>
      </c>
      <c r="L121" s="9">
        <v>49.0</v>
      </c>
      <c r="M121" s="9">
        <v>80.0</v>
      </c>
      <c r="N121" s="12">
        <f t="shared" si="3"/>
        <v>0.528125</v>
      </c>
      <c r="O121" s="12">
        <f t="shared" si="4"/>
        <v>0.5487012987</v>
      </c>
      <c r="P121" s="13">
        <f t="shared" si="5"/>
        <v>1078000</v>
      </c>
      <c r="Q121" s="15" t="s">
        <v>86</v>
      </c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</row>
    <row r="122" ht="12.75" customHeight="1">
      <c r="A122" s="8">
        <v>46113.0</v>
      </c>
      <c r="B122" s="9" t="s">
        <v>58</v>
      </c>
      <c r="C122" s="9" t="s">
        <v>59</v>
      </c>
      <c r="D122" s="18" t="s">
        <v>87</v>
      </c>
      <c r="E122" s="15" t="s">
        <v>22</v>
      </c>
      <c r="F122" s="9">
        <v>11.0</v>
      </c>
      <c r="G122" s="10">
        <v>0.8</v>
      </c>
      <c r="H122" s="10">
        <v>2.0</v>
      </c>
      <c r="I122" s="11">
        <f t="shared" si="16"/>
        <v>11.55</v>
      </c>
      <c r="J122" s="9">
        <v>7.0</v>
      </c>
      <c r="K122" s="9">
        <f t="shared" si="2"/>
        <v>8</v>
      </c>
      <c r="L122" s="9">
        <v>0.0</v>
      </c>
      <c r="M122" s="9">
        <v>8.0</v>
      </c>
      <c r="N122" s="12">
        <f t="shared" si="3"/>
        <v>1.44375</v>
      </c>
      <c r="O122" s="12">
        <f t="shared" si="4"/>
        <v>1.44375</v>
      </c>
      <c r="P122" s="13">
        <f t="shared" si="5"/>
        <v>0</v>
      </c>
      <c r="Q122" s="15" t="s">
        <v>86</v>
      </c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</row>
    <row r="123" ht="12.75" hidden="1" customHeight="1">
      <c r="A123" s="8">
        <v>45992.0</v>
      </c>
      <c r="B123" s="9" t="s">
        <v>35</v>
      </c>
      <c r="C123" s="9" t="s">
        <v>66</v>
      </c>
      <c r="D123" s="9" t="s">
        <v>88</v>
      </c>
      <c r="E123" s="15" t="s">
        <v>20</v>
      </c>
      <c r="F123" s="9">
        <v>16.0</v>
      </c>
      <c r="G123" s="10"/>
      <c r="H123" s="10">
        <v>2.0</v>
      </c>
      <c r="I123" s="11">
        <v>88.2</v>
      </c>
      <c r="J123" s="9">
        <v>68.0</v>
      </c>
      <c r="K123" s="9">
        <f t="shared" si="2"/>
        <v>241</v>
      </c>
      <c r="L123" s="9">
        <v>55.0</v>
      </c>
      <c r="M123" s="9">
        <v>296.0</v>
      </c>
      <c r="N123" s="12">
        <f t="shared" si="3"/>
        <v>0.297972973</v>
      </c>
      <c r="O123" s="12">
        <f t="shared" si="4"/>
        <v>0.3659751037</v>
      </c>
      <c r="P123" s="13">
        <f t="shared" si="5"/>
        <v>1210000</v>
      </c>
      <c r="Q123" s="9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 ht="12.75" hidden="1" customHeight="1">
      <c r="A124" s="8">
        <v>46082.0</v>
      </c>
      <c r="B124" s="9" t="s">
        <v>17</v>
      </c>
      <c r="C124" s="9" t="s">
        <v>39</v>
      </c>
      <c r="D124" s="9" t="s">
        <v>40</v>
      </c>
      <c r="E124" s="9" t="s">
        <v>20</v>
      </c>
      <c r="F124" s="21">
        <v>25.0</v>
      </c>
      <c r="G124" s="10">
        <v>9.2</v>
      </c>
      <c r="H124" s="10">
        <v>2.0</v>
      </c>
      <c r="I124" s="11">
        <f t="shared" ref="I124:I131" si="17">(G124*F124)+0.25*F124</f>
        <v>236.25</v>
      </c>
      <c r="J124" s="9">
        <v>289.0</v>
      </c>
      <c r="K124" s="9">
        <f t="shared" si="2"/>
        <v>290</v>
      </c>
      <c r="L124" s="16">
        <v>101.0</v>
      </c>
      <c r="M124" s="15">
        <f>191+240-40</f>
        <v>391</v>
      </c>
      <c r="N124" s="12">
        <f t="shared" si="3"/>
        <v>0.6042199488</v>
      </c>
      <c r="O124" s="12">
        <f t="shared" si="4"/>
        <v>0.8146551724</v>
      </c>
      <c r="P124" s="13">
        <f t="shared" si="5"/>
        <v>2222000</v>
      </c>
      <c r="Q124" s="9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 ht="12.75" hidden="1" customHeight="1">
      <c r="A125" s="8">
        <v>46082.0</v>
      </c>
      <c r="B125" s="9" t="s">
        <v>17</v>
      </c>
      <c r="C125" s="9" t="s">
        <v>39</v>
      </c>
      <c r="D125" s="9" t="s">
        <v>41</v>
      </c>
      <c r="E125" s="9" t="s">
        <v>20</v>
      </c>
      <c r="F125" s="21">
        <v>24.0</v>
      </c>
      <c r="G125" s="10">
        <v>7.61</v>
      </c>
      <c r="H125" s="10">
        <v>2.0</v>
      </c>
      <c r="I125" s="11">
        <f t="shared" si="17"/>
        <v>188.64</v>
      </c>
      <c r="J125" s="9">
        <v>373.0</v>
      </c>
      <c r="K125" s="9">
        <f t="shared" si="2"/>
        <v>419</v>
      </c>
      <c r="L125" s="16">
        <v>46.0</v>
      </c>
      <c r="M125" s="15">
        <f>225+188-40</f>
        <v>373</v>
      </c>
      <c r="N125" s="12">
        <f t="shared" si="3"/>
        <v>0.5057372654</v>
      </c>
      <c r="O125" s="12">
        <f t="shared" si="4"/>
        <v>0.4502147971</v>
      </c>
      <c r="P125" s="13">
        <f t="shared" si="5"/>
        <v>1012000</v>
      </c>
      <c r="Q125" s="9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 ht="12.75" hidden="1" customHeight="1">
      <c r="A126" s="8">
        <v>46082.0</v>
      </c>
      <c r="B126" s="9" t="s">
        <v>17</v>
      </c>
      <c r="C126" s="9" t="s">
        <v>39</v>
      </c>
      <c r="D126" s="9" t="s">
        <v>42</v>
      </c>
      <c r="E126" s="9" t="s">
        <v>20</v>
      </c>
      <c r="F126" s="9">
        <v>27.0</v>
      </c>
      <c r="G126" s="10">
        <v>12.98</v>
      </c>
      <c r="H126" s="10">
        <v>3.0</v>
      </c>
      <c r="I126" s="11">
        <f t="shared" si="17"/>
        <v>357.21</v>
      </c>
      <c r="J126" s="9">
        <v>414.0</v>
      </c>
      <c r="K126" s="9">
        <f t="shared" si="2"/>
        <v>427.5</v>
      </c>
      <c r="L126" s="16">
        <v>57.0</v>
      </c>
      <c r="M126" s="15">
        <f>224+229+81.5-40-10</f>
        <v>484.5</v>
      </c>
      <c r="N126" s="12">
        <f t="shared" si="3"/>
        <v>0.7372755418</v>
      </c>
      <c r="O126" s="12">
        <f t="shared" si="4"/>
        <v>0.8355789474</v>
      </c>
      <c r="P126" s="13">
        <f t="shared" si="5"/>
        <v>1254000</v>
      </c>
      <c r="Q126" s="9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 ht="12.75" hidden="1" customHeight="1">
      <c r="A127" s="8">
        <v>46082.0</v>
      </c>
      <c r="B127" s="9" t="s">
        <v>17</v>
      </c>
      <c r="C127" s="9" t="s">
        <v>39</v>
      </c>
      <c r="D127" s="9" t="s">
        <v>43</v>
      </c>
      <c r="E127" s="9" t="s">
        <v>20</v>
      </c>
      <c r="F127" s="9">
        <v>23.0</v>
      </c>
      <c r="G127" s="10">
        <v>4.69</v>
      </c>
      <c r="H127" s="10">
        <v>1.0</v>
      </c>
      <c r="I127" s="11">
        <f t="shared" si="17"/>
        <v>113.62</v>
      </c>
      <c r="J127" s="9">
        <v>280.0</v>
      </c>
      <c r="K127" s="9">
        <f t="shared" si="2"/>
        <v>355</v>
      </c>
      <c r="L127" s="16">
        <v>9.0</v>
      </c>
      <c r="M127" s="15">
        <f>234-20</f>
        <v>214</v>
      </c>
      <c r="N127" s="12">
        <f t="shared" si="3"/>
        <v>0.5309345794</v>
      </c>
      <c r="O127" s="12">
        <f t="shared" si="4"/>
        <v>0.320056338</v>
      </c>
      <c r="P127" s="13">
        <f t="shared" si="5"/>
        <v>198000</v>
      </c>
      <c r="Q127" s="9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 ht="12.75" hidden="1" customHeight="1">
      <c r="A128" s="8">
        <v>46082.0</v>
      </c>
      <c r="B128" s="9" t="s">
        <v>17</v>
      </c>
      <c r="C128" s="9" t="s">
        <v>39</v>
      </c>
      <c r="D128" s="9" t="s">
        <v>44</v>
      </c>
      <c r="E128" s="9" t="s">
        <v>20</v>
      </c>
      <c r="F128" s="21">
        <v>28.0</v>
      </c>
      <c r="G128" s="10">
        <v>4.61</v>
      </c>
      <c r="H128" s="10">
        <v>1.0</v>
      </c>
      <c r="I128" s="11">
        <f t="shared" si="17"/>
        <v>136.08</v>
      </c>
      <c r="J128" s="9">
        <v>171.0</v>
      </c>
      <c r="K128" s="9">
        <f t="shared" si="2"/>
        <v>180.5</v>
      </c>
      <c r="L128" s="16">
        <v>0.0</v>
      </c>
      <c r="M128" s="15">
        <f>251/2+64-28</f>
        <v>161.5</v>
      </c>
      <c r="N128" s="12">
        <f t="shared" si="3"/>
        <v>0.8426006192</v>
      </c>
      <c r="O128" s="12">
        <f t="shared" si="4"/>
        <v>0.7539058172</v>
      </c>
      <c r="P128" s="13">
        <f t="shared" si="5"/>
        <v>0</v>
      </c>
      <c r="Q128" s="9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 ht="12.75" hidden="1" customHeight="1">
      <c r="A129" s="8">
        <v>46082.0</v>
      </c>
      <c r="B129" s="9" t="s">
        <v>17</v>
      </c>
      <c r="C129" s="9" t="s">
        <v>39</v>
      </c>
      <c r="D129" s="9" t="s">
        <v>45</v>
      </c>
      <c r="E129" s="9" t="s">
        <v>20</v>
      </c>
      <c r="F129" s="21">
        <v>28.0</v>
      </c>
      <c r="G129" s="10">
        <v>4.5</v>
      </c>
      <c r="H129" s="10">
        <v>1.0</v>
      </c>
      <c r="I129" s="11">
        <f t="shared" si="17"/>
        <v>133</v>
      </c>
      <c r="J129" s="9">
        <v>140.0</v>
      </c>
      <c r="K129" s="9">
        <f t="shared" si="2"/>
        <v>174.5</v>
      </c>
      <c r="L129" s="16">
        <v>0.0</v>
      </c>
      <c r="M129" s="15">
        <f>194.5-20</f>
        <v>174.5</v>
      </c>
      <c r="N129" s="12">
        <f t="shared" si="3"/>
        <v>0.7621776504</v>
      </c>
      <c r="O129" s="12">
        <f t="shared" si="4"/>
        <v>0.7621776504</v>
      </c>
      <c r="P129" s="13">
        <f t="shared" si="5"/>
        <v>0</v>
      </c>
      <c r="Q129" s="9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 ht="12.75" hidden="1" customHeight="1">
      <c r="A130" s="8">
        <v>46082.0</v>
      </c>
      <c r="B130" s="9" t="s">
        <v>17</v>
      </c>
      <c r="C130" s="9" t="s">
        <v>39</v>
      </c>
      <c r="D130" s="9" t="s">
        <v>46</v>
      </c>
      <c r="E130" s="9" t="s">
        <v>20</v>
      </c>
      <c r="F130" s="21">
        <v>21.0</v>
      </c>
      <c r="G130" s="10">
        <v>9.2</v>
      </c>
      <c r="H130" s="10">
        <v>2.0</v>
      </c>
      <c r="I130" s="11">
        <f t="shared" si="17"/>
        <v>198.45</v>
      </c>
      <c r="J130" s="9">
        <v>210.0</v>
      </c>
      <c r="K130" s="9">
        <f t="shared" si="2"/>
        <v>324.4</v>
      </c>
      <c r="L130" s="16">
        <v>119.6</v>
      </c>
      <c r="M130" s="15">
        <f>240+244-40</f>
        <v>444</v>
      </c>
      <c r="N130" s="12">
        <f t="shared" si="3"/>
        <v>0.4469594595</v>
      </c>
      <c r="O130" s="12">
        <f t="shared" si="4"/>
        <v>0.6117447596</v>
      </c>
      <c r="P130" s="13">
        <f t="shared" si="5"/>
        <v>2631200</v>
      </c>
      <c r="Q130" s="9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 ht="12.75" hidden="1" customHeight="1">
      <c r="A131" s="8">
        <v>46082.0</v>
      </c>
      <c r="B131" s="9" t="s">
        <v>17</v>
      </c>
      <c r="C131" s="9" t="s">
        <v>39</v>
      </c>
      <c r="D131" s="9" t="s">
        <v>47</v>
      </c>
      <c r="E131" s="9" t="s">
        <v>20</v>
      </c>
      <c r="F131" s="21">
        <v>26.0</v>
      </c>
      <c r="G131" s="10">
        <f>20736/3600</f>
        <v>5.76</v>
      </c>
      <c r="H131" s="10">
        <v>1.0</v>
      </c>
      <c r="I131" s="11">
        <f t="shared" si="17"/>
        <v>156.26</v>
      </c>
      <c r="J131" s="9">
        <v>144.0</v>
      </c>
      <c r="K131" s="9">
        <f t="shared" si="2"/>
        <v>150</v>
      </c>
      <c r="L131" s="16">
        <v>16.0</v>
      </c>
      <c r="M131" s="15">
        <f>186-20</f>
        <v>166</v>
      </c>
      <c r="N131" s="12">
        <f t="shared" si="3"/>
        <v>0.9413253012</v>
      </c>
      <c r="O131" s="12">
        <f t="shared" si="4"/>
        <v>1.041733333</v>
      </c>
      <c r="P131" s="13">
        <f t="shared" si="5"/>
        <v>352000</v>
      </c>
      <c r="Q131" s="9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 ht="12.75" hidden="1" customHeight="1">
      <c r="A132" s="8">
        <v>46082.0</v>
      </c>
      <c r="B132" s="9" t="s">
        <v>35</v>
      </c>
      <c r="C132" s="9" t="s">
        <v>36</v>
      </c>
      <c r="D132" s="9" t="s">
        <v>37</v>
      </c>
      <c r="E132" s="15" t="s">
        <v>20</v>
      </c>
      <c r="F132" s="9">
        <v>201.0</v>
      </c>
      <c r="G132" s="10"/>
      <c r="H132" s="10">
        <v>6.0</v>
      </c>
      <c r="I132" s="11">
        <v>957.0</v>
      </c>
      <c r="J132" s="9">
        <v>602.0</v>
      </c>
      <c r="K132" s="9">
        <f t="shared" si="2"/>
        <v>1229</v>
      </c>
      <c r="L132" s="9">
        <v>36.0</v>
      </c>
      <c r="M132" s="9">
        <f>185+240+289+243+251+177-120</f>
        <v>1265</v>
      </c>
      <c r="N132" s="12">
        <f t="shared" si="3"/>
        <v>0.7565217391</v>
      </c>
      <c r="O132" s="12">
        <f t="shared" si="4"/>
        <v>0.7786818552</v>
      </c>
      <c r="P132" s="13">
        <f t="shared" si="5"/>
        <v>792000</v>
      </c>
      <c r="Q132" s="9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 ht="12.75" hidden="1" customHeight="1">
      <c r="A133" s="8">
        <v>46023.0</v>
      </c>
      <c r="B133" s="9" t="s">
        <v>35</v>
      </c>
      <c r="C133" s="9" t="s">
        <v>66</v>
      </c>
      <c r="D133" s="9" t="s">
        <v>88</v>
      </c>
      <c r="E133" s="15" t="s">
        <v>20</v>
      </c>
      <c r="F133" s="9">
        <v>21.0</v>
      </c>
      <c r="G133" s="10"/>
      <c r="H133" s="10">
        <v>2.0</v>
      </c>
      <c r="I133" s="11">
        <v>121.0</v>
      </c>
      <c r="J133" s="9">
        <v>121.0</v>
      </c>
      <c r="K133" s="9">
        <f t="shared" si="2"/>
        <v>123</v>
      </c>
      <c r="L133" s="9">
        <v>1.0</v>
      </c>
      <c r="M133" s="9">
        <v>124.0</v>
      </c>
      <c r="N133" s="12">
        <f t="shared" si="3"/>
        <v>0.9758064516</v>
      </c>
      <c r="O133" s="12">
        <f t="shared" si="4"/>
        <v>0.9837398374</v>
      </c>
      <c r="P133" s="13">
        <f t="shared" si="5"/>
        <v>22000</v>
      </c>
      <c r="Q133" s="9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 ht="12.75" hidden="1" customHeight="1">
      <c r="A134" s="8">
        <v>46054.0</v>
      </c>
      <c r="B134" s="9" t="s">
        <v>35</v>
      </c>
      <c r="C134" s="9" t="s">
        <v>66</v>
      </c>
      <c r="D134" s="9" t="s">
        <v>88</v>
      </c>
      <c r="E134" s="15" t="s">
        <v>20</v>
      </c>
      <c r="F134" s="9">
        <v>41.0</v>
      </c>
      <c r="G134" s="10"/>
      <c r="H134" s="10">
        <v>2.0</v>
      </c>
      <c r="I134" s="11">
        <v>212.0</v>
      </c>
      <c r="J134" s="9">
        <v>190.0</v>
      </c>
      <c r="K134" s="9">
        <f t="shared" si="2"/>
        <v>270</v>
      </c>
      <c r="L134" s="9">
        <v>26.0</v>
      </c>
      <c r="M134" s="9">
        <v>296.0</v>
      </c>
      <c r="N134" s="12">
        <f t="shared" si="3"/>
        <v>0.7162162162</v>
      </c>
      <c r="O134" s="12">
        <f t="shared" si="4"/>
        <v>0.7851851852</v>
      </c>
      <c r="P134" s="13">
        <f t="shared" si="5"/>
        <v>572000</v>
      </c>
      <c r="Q134" s="9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 ht="12.75" hidden="1" customHeight="1">
      <c r="A135" s="8">
        <v>46082.0</v>
      </c>
      <c r="B135" s="9" t="s">
        <v>35</v>
      </c>
      <c r="C135" s="9" t="s">
        <v>66</v>
      </c>
      <c r="D135" s="9" t="s">
        <v>88</v>
      </c>
      <c r="E135" s="15" t="s">
        <v>20</v>
      </c>
      <c r="F135" s="9">
        <v>61.0</v>
      </c>
      <c r="G135" s="10"/>
      <c r="H135" s="10">
        <v>2.0</v>
      </c>
      <c r="I135" s="11">
        <v>310.0</v>
      </c>
      <c r="J135" s="9">
        <v>186.0</v>
      </c>
      <c r="K135" s="9">
        <f t="shared" si="2"/>
        <v>204.5</v>
      </c>
      <c r="L135" s="9">
        <v>53.0</v>
      </c>
      <c r="M135" s="9">
        <f>185+112.5-40</f>
        <v>257.5</v>
      </c>
      <c r="N135" s="12">
        <f t="shared" si="3"/>
        <v>1.203883495</v>
      </c>
      <c r="O135" s="12">
        <f t="shared" si="4"/>
        <v>1.515892421</v>
      </c>
      <c r="P135" s="13">
        <f t="shared" si="5"/>
        <v>1166000</v>
      </c>
      <c r="Q135" s="9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 ht="12.75" hidden="1" customHeight="1">
      <c r="A136" s="8">
        <v>45992.0</v>
      </c>
      <c r="B136" s="9" t="s">
        <v>17</v>
      </c>
      <c r="C136" s="9" t="s">
        <v>39</v>
      </c>
      <c r="D136" s="9" t="s">
        <v>89</v>
      </c>
      <c r="E136" s="9" t="s">
        <v>22</v>
      </c>
      <c r="F136" s="9">
        <v>16.0</v>
      </c>
      <c r="G136" s="10">
        <v>8.98</v>
      </c>
      <c r="H136" s="10">
        <v>2.0</v>
      </c>
      <c r="I136" s="11">
        <f t="shared" ref="I136:I142" si="18">(G136*F136)+0.25*F136</f>
        <v>147.68</v>
      </c>
      <c r="J136" s="9">
        <v>224.0</v>
      </c>
      <c r="K136" s="9">
        <f t="shared" si="2"/>
        <v>244</v>
      </c>
      <c r="L136" s="17">
        <v>94.0</v>
      </c>
      <c r="M136" s="9">
        <v>338.0</v>
      </c>
      <c r="N136" s="12">
        <f t="shared" si="3"/>
        <v>0.4369230769</v>
      </c>
      <c r="O136" s="12">
        <f t="shared" si="4"/>
        <v>0.6052459016</v>
      </c>
      <c r="P136" s="13">
        <f t="shared" si="5"/>
        <v>2068000</v>
      </c>
      <c r="Q136" s="9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 ht="12.75" hidden="1" customHeight="1">
      <c r="A137" s="8">
        <v>46023.0</v>
      </c>
      <c r="B137" s="9" t="s">
        <v>17</v>
      </c>
      <c r="C137" s="9" t="s">
        <v>39</v>
      </c>
      <c r="D137" s="9" t="s">
        <v>89</v>
      </c>
      <c r="E137" s="9" t="s">
        <v>22</v>
      </c>
      <c r="F137" s="9">
        <v>12.0</v>
      </c>
      <c r="G137" s="10">
        <v>8.98</v>
      </c>
      <c r="H137" s="10">
        <v>2.0</v>
      </c>
      <c r="I137" s="11">
        <f t="shared" si="18"/>
        <v>110.76</v>
      </c>
      <c r="J137" s="9">
        <v>214.0</v>
      </c>
      <c r="K137" s="9">
        <f t="shared" si="2"/>
        <v>238</v>
      </c>
      <c r="L137" s="17">
        <v>82.0</v>
      </c>
      <c r="M137" s="9">
        <v>272.0</v>
      </c>
      <c r="N137" s="12">
        <f t="shared" si="3"/>
        <v>0.4072058824</v>
      </c>
      <c r="O137" s="12">
        <f t="shared" si="4"/>
        <v>0.4653781513</v>
      </c>
      <c r="P137" s="13">
        <f t="shared" si="5"/>
        <v>1804000</v>
      </c>
      <c r="Q137" s="9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 ht="12.75" hidden="1" customHeight="1">
      <c r="A138" s="8">
        <v>46054.0</v>
      </c>
      <c r="B138" s="9" t="s">
        <v>17</v>
      </c>
      <c r="C138" s="9" t="s">
        <v>39</v>
      </c>
      <c r="D138" s="9" t="s">
        <v>89</v>
      </c>
      <c r="E138" s="9" t="s">
        <v>22</v>
      </c>
      <c r="F138" s="9">
        <v>23.0</v>
      </c>
      <c r="G138" s="10">
        <v>8.98</v>
      </c>
      <c r="H138" s="10">
        <v>2.0</v>
      </c>
      <c r="I138" s="11">
        <f t="shared" si="18"/>
        <v>212.29</v>
      </c>
      <c r="J138" s="9">
        <v>291.0</v>
      </c>
      <c r="K138" s="9">
        <f t="shared" si="2"/>
        <v>300</v>
      </c>
      <c r="L138" s="17">
        <v>101.0</v>
      </c>
      <c r="M138" s="9">
        <v>383.0</v>
      </c>
      <c r="N138" s="12">
        <f t="shared" si="3"/>
        <v>0.5542819843</v>
      </c>
      <c r="O138" s="12">
        <f t="shared" si="4"/>
        <v>0.7076333333</v>
      </c>
      <c r="P138" s="13">
        <f t="shared" si="5"/>
        <v>2222000</v>
      </c>
      <c r="Q138" s="9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 ht="12.75" hidden="1" customHeight="1">
      <c r="A139" s="8">
        <v>46082.0</v>
      </c>
      <c r="B139" s="9" t="s">
        <v>17</v>
      </c>
      <c r="C139" s="9" t="s">
        <v>39</v>
      </c>
      <c r="D139" s="9" t="s">
        <v>89</v>
      </c>
      <c r="E139" s="15" t="s">
        <v>22</v>
      </c>
      <c r="F139" s="9">
        <v>24.0</v>
      </c>
      <c r="G139" s="10">
        <v>8.98</v>
      </c>
      <c r="H139" s="10">
        <v>2.0</v>
      </c>
      <c r="I139" s="11">
        <f t="shared" si="18"/>
        <v>221.52</v>
      </c>
      <c r="J139" s="9">
        <v>286.0</v>
      </c>
      <c r="K139" s="9">
        <f t="shared" si="2"/>
        <v>339.5</v>
      </c>
      <c r="L139" s="16">
        <v>138.0</v>
      </c>
      <c r="M139" s="15">
        <f>208+202.5-40</f>
        <v>370.5</v>
      </c>
      <c r="N139" s="12">
        <f t="shared" si="3"/>
        <v>0.5978947368</v>
      </c>
      <c r="O139" s="12">
        <f t="shared" si="4"/>
        <v>0.6524889543</v>
      </c>
      <c r="P139" s="13">
        <f t="shared" si="5"/>
        <v>3036000</v>
      </c>
      <c r="Q139" s="9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 ht="12.75" hidden="1" customHeight="1">
      <c r="A140" s="8">
        <v>46082.0</v>
      </c>
      <c r="B140" s="9" t="s">
        <v>17</v>
      </c>
      <c r="C140" s="9" t="s">
        <v>39</v>
      </c>
      <c r="D140" s="9" t="s">
        <v>51</v>
      </c>
      <c r="E140" s="9" t="s">
        <v>20</v>
      </c>
      <c r="F140" s="21">
        <v>28.0</v>
      </c>
      <c r="G140" s="10">
        <v>4.33</v>
      </c>
      <c r="H140" s="10">
        <v>1.0</v>
      </c>
      <c r="I140" s="11">
        <f t="shared" si="18"/>
        <v>128.24</v>
      </c>
      <c r="J140" s="9">
        <v>151.0</v>
      </c>
      <c r="K140" s="9">
        <f t="shared" si="2"/>
        <v>151</v>
      </c>
      <c r="L140" s="16">
        <v>70.0</v>
      </c>
      <c r="M140" s="15">
        <f>241-20</f>
        <v>221</v>
      </c>
      <c r="N140" s="12">
        <f t="shared" si="3"/>
        <v>0.5802714932</v>
      </c>
      <c r="O140" s="12">
        <f t="shared" si="4"/>
        <v>0.8492715232</v>
      </c>
      <c r="P140" s="13">
        <f t="shared" si="5"/>
        <v>1540000</v>
      </c>
      <c r="Q140" s="9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 ht="12.75" hidden="1" customHeight="1">
      <c r="A141" s="8">
        <v>46082.0</v>
      </c>
      <c r="B141" s="9" t="s">
        <v>17</v>
      </c>
      <c r="C141" s="9" t="s">
        <v>39</v>
      </c>
      <c r="D141" s="9" t="s">
        <v>52</v>
      </c>
      <c r="E141" s="9" t="s">
        <v>20</v>
      </c>
      <c r="F141" s="9">
        <v>26.0</v>
      </c>
      <c r="G141" s="10">
        <v>4.6</v>
      </c>
      <c r="H141" s="10">
        <v>1.0</v>
      </c>
      <c r="I141" s="11">
        <f t="shared" si="18"/>
        <v>126.1</v>
      </c>
      <c r="J141" s="9">
        <v>107.0</v>
      </c>
      <c r="K141" s="9">
        <f t="shared" si="2"/>
        <v>121.5</v>
      </c>
      <c r="L141" s="16">
        <v>30.0</v>
      </c>
      <c r="M141" s="15">
        <f>171.5-20</f>
        <v>151.5</v>
      </c>
      <c r="N141" s="12">
        <f t="shared" si="3"/>
        <v>0.8323432343</v>
      </c>
      <c r="O141" s="12">
        <f t="shared" si="4"/>
        <v>1.037860082</v>
      </c>
      <c r="P141" s="13">
        <f t="shared" si="5"/>
        <v>660000</v>
      </c>
      <c r="Q141" s="9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 ht="12.75" hidden="1" customHeight="1">
      <c r="A142" s="8">
        <v>46082.0</v>
      </c>
      <c r="B142" s="9" t="s">
        <v>17</v>
      </c>
      <c r="C142" s="9" t="s">
        <v>39</v>
      </c>
      <c r="D142" s="9" t="s">
        <v>53</v>
      </c>
      <c r="E142" s="9" t="s">
        <v>20</v>
      </c>
      <c r="F142" s="21">
        <v>25.0</v>
      </c>
      <c r="G142" s="10">
        <v>4.66</v>
      </c>
      <c r="H142" s="10">
        <v>1.0</v>
      </c>
      <c r="I142" s="22">
        <f t="shared" si="18"/>
        <v>122.75</v>
      </c>
      <c r="J142" s="9">
        <v>140.5</v>
      </c>
      <c r="K142" s="9">
        <f t="shared" si="2"/>
        <v>146</v>
      </c>
      <c r="L142" s="16">
        <v>33.0</v>
      </c>
      <c r="M142" s="23">
        <f>199-20</f>
        <v>179</v>
      </c>
      <c r="N142" s="12">
        <f t="shared" si="3"/>
        <v>0.6857541899</v>
      </c>
      <c r="O142" s="12">
        <f t="shared" si="4"/>
        <v>0.8407534247</v>
      </c>
      <c r="P142" s="13">
        <f t="shared" si="5"/>
        <v>726000</v>
      </c>
      <c r="Q142" s="9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 ht="12.75" customHeight="1">
      <c r="A143" s="24"/>
      <c r="B143" s="14"/>
      <c r="C143" s="14"/>
      <c r="D143" s="14"/>
      <c r="E143" s="14"/>
      <c r="F143" s="14"/>
      <c r="G143" s="25"/>
      <c r="H143" s="25"/>
      <c r="I143" s="26"/>
      <c r="J143" s="14"/>
      <c r="K143" s="14"/>
      <c r="L143" s="14"/>
      <c r="M143" s="14"/>
      <c r="N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 ht="12.75" customHeight="1">
      <c r="A144" s="24"/>
      <c r="B144" s="14"/>
      <c r="C144" s="14"/>
      <c r="D144" s="14"/>
      <c r="E144" s="14"/>
      <c r="F144" s="14"/>
      <c r="G144" s="25"/>
      <c r="H144" s="25"/>
      <c r="I144" s="26"/>
      <c r="J144" s="14"/>
      <c r="K144" s="14"/>
      <c r="L144" s="14"/>
      <c r="M144" s="14"/>
      <c r="N144" s="27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 ht="12.75" customHeight="1">
      <c r="A145" s="24"/>
      <c r="B145" s="14"/>
      <c r="C145" s="14"/>
      <c r="D145" s="14"/>
      <c r="E145" s="14"/>
      <c r="F145" s="14"/>
      <c r="G145" s="25"/>
      <c r="H145" s="25"/>
      <c r="I145" s="26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 ht="12.75" customHeight="1">
      <c r="A146" s="24"/>
      <c r="B146" s="14"/>
      <c r="C146" s="14"/>
      <c r="D146" s="14"/>
      <c r="E146" s="14"/>
      <c r="F146" s="14"/>
      <c r="G146" s="25"/>
      <c r="H146" s="25"/>
      <c r="I146" s="26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 ht="12.75" customHeight="1">
      <c r="A147" s="24"/>
      <c r="B147" s="14"/>
      <c r="C147" s="14"/>
      <c r="D147" s="14"/>
      <c r="E147" s="14"/>
      <c r="F147" s="14"/>
      <c r="G147" s="25"/>
      <c r="H147" s="25"/>
      <c r="I147" s="26"/>
      <c r="J147" s="14"/>
      <c r="K147" s="14"/>
      <c r="L147" s="14"/>
      <c r="M147" s="14"/>
      <c r="N147" s="26"/>
      <c r="O147" s="28"/>
      <c r="P147" s="28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 ht="12.75" customHeight="1">
      <c r="A148" s="24"/>
      <c r="B148" s="14"/>
      <c r="C148" s="14"/>
      <c r="D148" s="14"/>
      <c r="E148" s="14"/>
      <c r="F148" s="14"/>
      <c r="G148" s="25"/>
      <c r="H148" s="25"/>
      <c r="I148" s="26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 ht="12.75" customHeight="1">
      <c r="A149" s="24"/>
      <c r="B149" s="14"/>
      <c r="C149" s="14"/>
      <c r="D149" s="14"/>
      <c r="E149" s="14"/>
      <c r="F149" s="14"/>
      <c r="G149" s="25"/>
      <c r="H149" s="25"/>
      <c r="I149" s="26"/>
      <c r="J149" s="29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 ht="12.75" customHeight="1">
      <c r="A150" s="24"/>
      <c r="B150" s="14"/>
      <c r="C150" s="14"/>
      <c r="D150" s="14"/>
      <c r="E150" s="14"/>
      <c r="F150" s="14"/>
      <c r="G150" s="25"/>
      <c r="H150" s="25"/>
      <c r="I150" s="26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 ht="12.75" customHeight="1">
      <c r="A151" s="24"/>
      <c r="B151" s="14"/>
      <c r="C151" s="14"/>
      <c r="D151" s="14"/>
      <c r="E151" s="14"/>
      <c r="F151" s="14"/>
      <c r="G151" s="25"/>
      <c r="H151" s="25"/>
      <c r="I151" s="26"/>
      <c r="J151" s="14"/>
      <c r="K151" s="14"/>
      <c r="L151" s="14"/>
      <c r="M151" s="14"/>
      <c r="N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 ht="12.75" customHeight="1">
      <c r="A152" s="24"/>
      <c r="B152" s="14"/>
      <c r="C152" s="14"/>
      <c r="D152" s="14"/>
      <c r="E152" s="14"/>
      <c r="F152" s="14"/>
      <c r="G152" s="25"/>
      <c r="H152" s="25"/>
      <c r="I152" s="26"/>
      <c r="J152" s="14"/>
      <c r="K152" s="14"/>
      <c r="L152" s="14"/>
      <c r="M152" s="14"/>
      <c r="N152" s="27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 ht="12.75" customHeight="1">
      <c r="A153" s="24"/>
      <c r="B153" s="14"/>
      <c r="C153" s="14"/>
      <c r="D153" s="14"/>
      <c r="E153" s="14"/>
      <c r="F153" s="14"/>
      <c r="G153" s="25"/>
      <c r="H153" s="25"/>
      <c r="I153" s="26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 ht="12.75" customHeight="1">
      <c r="A154" s="24"/>
      <c r="B154" s="14"/>
      <c r="C154" s="14"/>
      <c r="D154" s="14"/>
      <c r="E154" s="14"/>
      <c r="F154" s="14"/>
      <c r="G154" s="25"/>
      <c r="H154" s="25"/>
      <c r="I154" s="2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 ht="12.75" customHeight="1">
      <c r="A155" s="24"/>
      <c r="B155" s="14"/>
      <c r="C155" s="14"/>
      <c r="D155" s="14"/>
      <c r="E155" s="14"/>
      <c r="F155" s="14"/>
      <c r="G155" s="25"/>
      <c r="H155" s="25"/>
      <c r="I155" s="26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 ht="12.75" customHeight="1">
      <c r="A156" s="24"/>
      <c r="B156" s="14"/>
      <c r="C156" s="14"/>
      <c r="D156" s="14"/>
      <c r="E156" s="14"/>
      <c r="F156" s="14"/>
      <c r="G156" s="25"/>
      <c r="H156" s="25"/>
      <c r="I156" s="26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 ht="12.75" customHeight="1">
      <c r="A157" s="24"/>
      <c r="B157" s="14"/>
      <c r="C157" s="14"/>
      <c r="D157" s="14"/>
      <c r="E157" s="14"/>
      <c r="F157" s="14"/>
      <c r="G157" s="25"/>
      <c r="H157" s="25"/>
      <c r="I157" s="26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 ht="12.75" customHeight="1">
      <c r="A158" s="24"/>
      <c r="B158" s="14"/>
      <c r="C158" s="14"/>
      <c r="D158" s="14"/>
      <c r="E158" s="14"/>
      <c r="F158" s="14"/>
      <c r="G158" s="25"/>
      <c r="H158" s="25"/>
      <c r="I158" s="2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 ht="12.75" customHeight="1">
      <c r="A159" s="24"/>
      <c r="B159" s="14"/>
      <c r="C159" s="14"/>
      <c r="D159" s="14"/>
      <c r="E159" s="14"/>
      <c r="F159" s="14"/>
      <c r="G159" s="25"/>
      <c r="H159" s="25"/>
      <c r="I159" s="26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 ht="12.75" customHeight="1">
      <c r="A160" s="24"/>
      <c r="B160" s="14"/>
      <c r="C160" s="14"/>
      <c r="D160" s="14"/>
      <c r="E160" s="14"/>
      <c r="F160" s="14"/>
      <c r="G160" s="25"/>
      <c r="H160" s="25"/>
      <c r="I160" s="26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 ht="12.75" customHeight="1">
      <c r="A161" s="24"/>
      <c r="B161" s="14"/>
      <c r="C161" s="14"/>
      <c r="D161" s="14"/>
      <c r="E161" s="14"/>
      <c r="F161" s="14"/>
      <c r="G161" s="25"/>
      <c r="H161" s="25"/>
      <c r="I161" s="2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 ht="12.75" customHeight="1">
      <c r="A162" s="24"/>
      <c r="B162" s="14"/>
      <c r="C162" s="14"/>
      <c r="D162" s="14"/>
      <c r="E162" s="14"/>
      <c r="F162" s="14"/>
      <c r="G162" s="25"/>
      <c r="H162" s="25"/>
      <c r="I162" s="2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 ht="12.75" customHeight="1">
      <c r="A163" s="24"/>
      <c r="B163" s="14"/>
      <c r="C163" s="14"/>
      <c r="D163" s="14"/>
      <c r="E163" s="14"/>
      <c r="F163" s="14"/>
      <c r="G163" s="25"/>
      <c r="H163" s="25"/>
      <c r="I163" s="2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 ht="12.75" customHeight="1">
      <c r="A164" s="24"/>
      <c r="B164" s="14"/>
      <c r="C164" s="14"/>
      <c r="D164" s="14"/>
      <c r="E164" s="14"/>
      <c r="F164" s="14"/>
      <c r="G164" s="25"/>
      <c r="H164" s="25"/>
      <c r="I164" s="26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 ht="12.75" customHeight="1">
      <c r="A165" s="24"/>
      <c r="B165" s="14"/>
      <c r="C165" s="14"/>
      <c r="D165" s="14"/>
      <c r="E165" s="14"/>
      <c r="F165" s="14"/>
      <c r="G165" s="25"/>
      <c r="H165" s="25"/>
      <c r="I165" s="26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 ht="12.75" customHeight="1">
      <c r="A166" s="24"/>
      <c r="B166" s="14"/>
      <c r="C166" s="14"/>
      <c r="D166" s="14"/>
      <c r="E166" s="14"/>
      <c r="F166" s="14"/>
      <c r="G166" s="25"/>
      <c r="H166" s="25"/>
      <c r="I166" s="26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 ht="12.75" customHeight="1">
      <c r="A167" s="24"/>
      <c r="B167" s="14"/>
      <c r="C167" s="14"/>
      <c r="D167" s="14"/>
      <c r="E167" s="14"/>
      <c r="F167" s="14"/>
      <c r="G167" s="25"/>
      <c r="H167" s="25"/>
      <c r="I167" s="26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 ht="12.75" customHeight="1">
      <c r="A168" s="24"/>
      <c r="B168" s="14"/>
      <c r="C168" s="14"/>
      <c r="D168" s="14"/>
      <c r="E168" s="14"/>
      <c r="F168" s="14"/>
      <c r="G168" s="25"/>
      <c r="H168" s="25"/>
      <c r="I168" s="26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 ht="12.75" customHeight="1">
      <c r="A169" s="24"/>
      <c r="B169" s="14"/>
      <c r="C169" s="14"/>
      <c r="D169" s="14"/>
      <c r="E169" s="14"/>
      <c r="F169" s="14"/>
      <c r="G169" s="25"/>
      <c r="H169" s="25"/>
      <c r="I169" s="26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 ht="12.75" customHeight="1">
      <c r="A170" s="24"/>
      <c r="B170" s="14"/>
      <c r="C170" s="14"/>
      <c r="D170" s="14"/>
      <c r="E170" s="14"/>
      <c r="F170" s="14"/>
      <c r="G170" s="25"/>
      <c r="H170" s="25"/>
      <c r="I170" s="26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 ht="12.75" customHeight="1">
      <c r="A171" s="24"/>
      <c r="B171" s="14"/>
      <c r="C171" s="14"/>
      <c r="D171" s="14"/>
      <c r="E171" s="14"/>
      <c r="F171" s="14"/>
      <c r="G171" s="25"/>
      <c r="H171" s="25"/>
      <c r="I171" s="26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 ht="12.75" customHeight="1">
      <c r="A172" s="24"/>
      <c r="B172" s="14"/>
      <c r="C172" s="14"/>
      <c r="D172" s="14"/>
      <c r="E172" s="14"/>
      <c r="F172" s="14"/>
      <c r="G172" s="25"/>
      <c r="H172" s="25"/>
      <c r="I172" s="26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 ht="12.75" customHeight="1">
      <c r="A173" s="24"/>
      <c r="B173" s="14"/>
      <c r="C173" s="14"/>
      <c r="D173" s="14"/>
      <c r="E173" s="14"/>
      <c r="F173" s="14"/>
      <c r="G173" s="25"/>
      <c r="H173" s="25"/>
      <c r="I173" s="26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 ht="12.75" customHeight="1">
      <c r="A174" s="24"/>
      <c r="B174" s="14"/>
      <c r="C174" s="14"/>
      <c r="D174" s="14"/>
      <c r="E174" s="14"/>
      <c r="F174" s="14"/>
      <c r="G174" s="25"/>
      <c r="H174" s="25"/>
      <c r="I174" s="26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 ht="12.75" customHeight="1">
      <c r="A175" s="24"/>
      <c r="B175" s="14"/>
      <c r="C175" s="14"/>
      <c r="D175" s="14"/>
      <c r="E175" s="14"/>
      <c r="F175" s="14"/>
      <c r="G175" s="25"/>
      <c r="H175" s="25"/>
      <c r="I175" s="26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 ht="12.75" customHeight="1">
      <c r="A176" s="24"/>
      <c r="B176" s="14"/>
      <c r="C176" s="14"/>
      <c r="D176" s="14"/>
      <c r="E176" s="14"/>
      <c r="F176" s="14"/>
      <c r="G176" s="25"/>
      <c r="H176" s="25"/>
      <c r="I176" s="26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 ht="12.75" customHeight="1">
      <c r="A177" s="24"/>
      <c r="B177" s="14"/>
      <c r="C177" s="14"/>
      <c r="D177" s="14"/>
      <c r="E177" s="14"/>
      <c r="F177" s="14"/>
      <c r="G177" s="25"/>
      <c r="H177" s="25"/>
      <c r="I177" s="26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 ht="12.75" customHeight="1">
      <c r="A178" s="24"/>
      <c r="B178" s="14"/>
      <c r="C178" s="14"/>
      <c r="D178" s="14"/>
      <c r="E178" s="14"/>
      <c r="F178" s="14"/>
      <c r="G178" s="25"/>
      <c r="H178" s="25"/>
      <c r="I178" s="26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 ht="12.75" customHeight="1">
      <c r="A179" s="24"/>
      <c r="B179" s="14"/>
      <c r="C179" s="14"/>
      <c r="D179" s="14"/>
      <c r="E179" s="14"/>
      <c r="F179" s="14"/>
      <c r="G179" s="25"/>
      <c r="H179" s="25"/>
      <c r="I179" s="26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 ht="12.75" customHeight="1">
      <c r="A180" s="24"/>
      <c r="B180" s="14"/>
      <c r="C180" s="14"/>
      <c r="D180" s="14"/>
      <c r="E180" s="14"/>
      <c r="F180" s="14"/>
      <c r="G180" s="25"/>
      <c r="H180" s="25"/>
      <c r="I180" s="26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 ht="12.75" customHeight="1">
      <c r="A181" s="24"/>
      <c r="B181" s="14"/>
      <c r="C181" s="14"/>
      <c r="D181" s="14"/>
      <c r="E181" s="14"/>
      <c r="F181" s="14"/>
      <c r="G181" s="25"/>
      <c r="H181" s="25"/>
      <c r="I181" s="26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 ht="12.75" customHeight="1">
      <c r="A182" s="24"/>
      <c r="B182" s="14"/>
      <c r="C182" s="14"/>
      <c r="D182" s="14"/>
      <c r="E182" s="14"/>
      <c r="F182" s="14"/>
      <c r="G182" s="25"/>
      <c r="H182" s="25"/>
      <c r="I182" s="26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 ht="12.75" customHeight="1">
      <c r="A183" s="24"/>
      <c r="B183" s="14"/>
      <c r="C183" s="14"/>
      <c r="D183" s="14"/>
      <c r="E183" s="14"/>
      <c r="F183" s="14"/>
      <c r="G183" s="25"/>
      <c r="H183" s="25"/>
      <c r="I183" s="26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 ht="12.75" customHeight="1">
      <c r="A184" s="24"/>
      <c r="B184" s="14"/>
      <c r="C184" s="14"/>
      <c r="D184" s="14"/>
      <c r="E184" s="14"/>
      <c r="F184" s="14"/>
      <c r="G184" s="25"/>
      <c r="H184" s="25"/>
      <c r="I184" s="26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 ht="12.75" customHeight="1">
      <c r="A185" s="24"/>
      <c r="B185" s="14"/>
      <c r="C185" s="14"/>
      <c r="D185" s="14"/>
      <c r="E185" s="14"/>
      <c r="F185" s="14"/>
      <c r="G185" s="25"/>
      <c r="H185" s="25"/>
      <c r="I185" s="26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 ht="12.75" customHeight="1">
      <c r="A186" s="24"/>
      <c r="B186" s="14"/>
      <c r="C186" s="14"/>
      <c r="D186" s="14"/>
      <c r="E186" s="14"/>
      <c r="F186" s="14"/>
      <c r="G186" s="25"/>
      <c r="H186" s="25"/>
      <c r="I186" s="2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 ht="12.75" customHeight="1">
      <c r="A187" s="24"/>
      <c r="B187" s="14"/>
      <c r="C187" s="14"/>
      <c r="D187" s="14"/>
      <c r="E187" s="14"/>
      <c r="F187" s="14"/>
      <c r="G187" s="25"/>
      <c r="H187" s="25"/>
      <c r="I187" s="26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 ht="12.75" customHeight="1">
      <c r="A188" s="24"/>
      <c r="B188" s="14"/>
      <c r="C188" s="14"/>
      <c r="D188" s="14"/>
      <c r="E188" s="14"/>
      <c r="F188" s="14"/>
      <c r="G188" s="25"/>
      <c r="H188" s="25"/>
      <c r="I188" s="26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 ht="12.75" customHeight="1">
      <c r="A189" s="24"/>
      <c r="B189" s="14"/>
      <c r="C189" s="14"/>
      <c r="D189" s="14"/>
      <c r="E189" s="14"/>
      <c r="F189" s="14"/>
      <c r="G189" s="25"/>
      <c r="H189" s="25"/>
      <c r="I189" s="26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 ht="12.75" customHeight="1">
      <c r="A190" s="24"/>
      <c r="B190" s="14"/>
      <c r="C190" s="14"/>
      <c r="D190" s="14"/>
      <c r="E190" s="14"/>
      <c r="F190" s="14"/>
      <c r="G190" s="25"/>
      <c r="H190" s="25"/>
      <c r="I190" s="26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 ht="12.75" customHeight="1">
      <c r="A191" s="24"/>
      <c r="B191" s="14"/>
      <c r="C191" s="14"/>
      <c r="D191" s="14"/>
      <c r="E191" s="14"/>
      <c r="F191" s="14"/>
      <c r="G191" s="25"/>
      <c r="H191" s="25"/>
      <c r="I191" s="26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 ht="12.75" customHeight="1">
      <c r="A192" s="24"/>
      <c r="B192" s="14"/>
      <c r="C192" s="14"/>
      <c r="D192" s="14"/>
      <c r="E192" s="14"/>
      <c r="F192" s="14"/>
      <c r="G192" s="25"/>
      <c r="H192" s="25"/>
      <c r="I192" s="26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 ht="12.75" customHeight="1">
      <c r="A193" s="24"/>
      <c r="B193" s="14"/>
      <c r="C193" s="14"/>
      <c r="D193" s="14"/>
      <c r="E193" s="14"/>
      <c r="F193" s="14"/>
      <c r="G193" s="25"/>
      <c r="H193" s="25"/>
      <c r="I193" s="26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 ht="12.75" customHeight="1">
      <c r="A194" s="24"/>
      <c r="B194" s="14"/>
      <c r="C194" s="14"/>
      <c r="D194" s="14"/>
      <c r="E194" s="14"/>
      <c r="F194" s="14"/>
      <c r="G194" s="25"/>
      <c r="H194" s="25"/>
      <c r="I194" s="26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 ht="12.75" customHeight="1">
      <c r="A195" s="24"/>
      <c r="B195" s="14"/>
      <c r="C195" s="14"/>
      <c r="D195" s="14"/>
      <c r="E195" s="14"/>
      <c r="F195" s="14"/>
      <c r="G195" s="25"/>
      <c r="H195" s="25"/>
      <c r="I195" s="26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 ht="12.75" customHeight="1">
      <c r="A196" s="24"/>
      <c r="B196" s="14"/>
      <c r="C196" s="14"/>
      <c r="D196" s="14"/>
      <c r="E196" s="14"/>
      <c r="F196" s="14"/>
      <c r="G196" s="25"/>
      <c r="H196" s="25"/>
      <c r="I196" s="26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 ht="12.75" customHeight="1">
      <c r="A197" s="24"/>
      <c r="B197" s="14"/>
      <c r="C197" s="14"/>
      <c r="D197" s="14"/>
      <c r="E197" s="14"/>
      <c r="F197" s="14"/>
      <c r="G197" s="25"/>
      <c r="H197" s="25"/>
      <c r="I197" s="26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 ht="12.75" customHeight="1">
      <c r="A198" s="24"/>
      <c r="B198" s="14"/>
      <c r="C198" s="14"/>
      <c r="D198" s="14"/>
      <c r="E198" s="14"/>
      <c r="F198" s="14"/>
      <c r="G198" s="25"/>
      <c r="H198" s="25"/>
      <c r="I198" s="26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 ht="12.75" customHeight="1">
      <c r="A199" s="24"/>
      <c r="B199" s="14"/>
      <c r="C199" s="14"/>
      <c r="D199" s="14"/>
      <c r="E199" s="14"/>
      <c r="F199" s="14"/>
      <c r="G199" s="25"/>
      <c r="H199" s="25"/>
      <c r="I199" s="26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 ht="12.75" customHeight="1">
      <c r="A200" s="24"/>
      <c r="B200" s="14"/>
      <c r="C200" s="14"/>
      <c r="D200" s="14"/>
      <c r="E200" s="14"/>
      <c r="F200" s="14"/>
      <c r="G200" s="25"/>
      <c r="H200" s="25"/>
      <c r="I200" s="26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 ht="12.75" customHeight="1">
      <c r="A201" s="24"/>
      <c r="B201" s="14"/>
      <c r="C201" s="14"/>
      <c r="D201" s="14"/>
      <c r="E201" s="14"/>
      <c r="F201" s="14"/>
      <c r="G201" s="25"/>
      <c r="H201" s="25"/>
      <c r="I201" s="26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 ht="12.75" customHeight="1">
      <c r="A202" s="24"/>
      <c r="B202" s="14"/>
      <c r="C202" s="14"/>
      <c r="D202" s="14"/>
      <c r="E202" s="14"/>
      <c r="F202" s="14"/>
      <c r="G202" s="25"/>
      <c r="H202" s="25"/>
      <c r="I202" s="26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 ht="12.75" customHeight="1">
      <c r="A203" s="24"/>
      <c r="B203" s="14"/>
      <c r="C203" s="14"/>
      <c r="D203" s="14"/>
      <c r="E203" s="14"/>
      <c r="F203" s="14"/>
      <c r="G203" s="25"/>
      <c r="H203" s="25"/>
      <c r="I203" s="2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 ht="12.75" customHeight="1">
      <c r="A204" s="24"/>
      <c r="B204" s="14"/>
      <c r="C204" s="14"/>
      <c r="D204" s="14"/>
      <c r="E204" s="14"/>
      <c r="F204" s="14"/>
      <c r="G204" s="25"/>
      <c r="H204" s="25"/>
      <c r="I204" s="26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 ht="12.75" customHeight="1">
      <c r="A205" s="24"/>
      <c r="B205" s="14"/>
      <c r="C205" s="14"/>
      <c r="D205" s="14"/>
      <c r="E205" s="14"/>
      <c r="F205" s="14"/>
      <c r="G205" s="25"/>
      <c r="H205" s="25"/>
      <c r="I205" s="26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 ht="12.75" customHeight="1">
      <c r="A206" s="24"/>
      <c r="B206" s="14"/>
      <c r="C206" s="14"/>
      <c r="D206" s="14"/>
      <c r="E206" s="14"/>
      <c r="F206" s="14"/>
      <c r="G206" s="25"/>
      <c r="H206" s="25"/>
      <c r="I206" s="26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 ht="12.75" customHeight="1">
      <c r="A207" s="24"/>
      <c r="B207" s="14"/>
      <c r="C207" s="14"/>
      <c r="D207" s="14"/>
      <c r="E207" s="14"/>
      <c r="F207" s="14"/>
      <c r="G207" s="25"/>
      <c r="H207" s="25"/>
      <c r="I207" s="26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 ht="12.75" customHeight="1">
      <c r="A208" s="24"/>
      <c r="B208" s="14"/>
      <c r="C208" s="14"/>
      <c r="D208" s="14"/>
      <c r="E208" s="14"/>
      <c r="F208" s="14"/>
      <c r="G208" s="25"/>
      <c r="H208" s="25"/>
      <c r="I208" s="26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 ht="12.75" customHeight="1">
      <c r="A209" s="24"/>
      <c r="B209" s="14"/>
      <c r="C209" s="14"/>
      <c r="D209" s="14"/>
      <c r="E209" s="14"/>
      <c r="F209" s="14"/>
      <c r="G209" s="25"/>
      <c r="H209" s="25"/>
      <c r="I209" s="26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 ht="12.75" customHeight="1">
      <c r="A210" s="24"/>
      <c r="B210" s="14"/>
      <c r="C210" s="14"/>
      <c r="D210" s="14"/>
      <c r="E210" s="14"/>
      <c r="F210" s="14"/>
      <c r="G210" s="25"/>
      <c r="H210" s="25"/>
      <c r="I210" s="26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 ht="12.75" customHeight="1">
      <c r="A211" s="24"/>
      <c r="B211" s="14"/>
      <c r="C211" s="14"/>
      <c r="D211" s="14"/>
      <c r="E211" s="14"/>
      <c r="F211" s="14"/>
      <c r="G211" s="25"/>
      <c r="H211" s="25"/>
      <c r="I211" s="26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 ht="12.75" customHeight="1">
      <c r="A212" s="24"/>
      <c r="B212" s="14"/>
      <c r="C212" s="14"/>
      <c r="D212" s="14"/>
      <c r="E212" s="14"/>
      <c r="F212" s="14"/>
      <c r="G212" s="25"/>
      <c r="H212" s="25"/>
      <c r="I212" s="26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 ht="12.75" customHeight="1">
      <c r="A213" s="24"/>
      <c r="B213" s="14"/>
      <c r="C213" s="14"/>
      <c r="D213" s="14"/>
      <c r="E213" s="14"/>
      <c r="F213" s="14"/>
      <c r="G213" s="25"/>
      <c r="H213" s="25"/>
      <c r="I213" s="26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 ht="12.75" customHeight="1">
      <c r="A214" s="24"/>
      <c r="B214" s="14"/>
      <c r="C214" s="14"/>
      <c r="D214" s="14"/>
      <c r="E214" s="14"/>
      <c r="F214" s="14"/>
      <c r="G214" s="25"/>
      <c r="H214" s="25"/>
      <c r="I214" s="26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 ht="12.75" customHeight="1">
      <c r="A215" s="24"/>
      <c r="B215" s="14"/>
      <c r="C215" s="14"/>
      <c r="D215" s="14"/>
      <c r="E215" s="14"/>
      <c r="F215" s="14"/>
      <c r="G215" s="25"/>
      <c r="H215" s="25"/>
      <c r="I215" s="26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 ht="12.75" customHeight="1">
      <c r="A216" s="24"/>
      <c r="B216" s="14"/>
      <c r="C216" s="14"/>
      <c r="D216" s="14"/>
      <c r="E216" s="14"/>
      <c r="F216" s="14"/>
      <c r="G216" s="25"/>
      <c r="H216" s="25"/>
      <c r="I216" s="26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 ht="12.75" customHeight="1">
      <c r="A217" s="24"/>
      <c r="B217" s="14"/>
      <c r="C217" s="14"/>
      <c r="D217" s="14"/>
      <c r="E217" s="14"/>
      <c r="F217" s="14"/>
      <c r="G217" s="25"/>
      <c r="H217" s="25"/>
      <c r="I217" s="26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 ht="12.75" customHeight="1">
      <c r="A218" s="24"/>
      <c r="B218" s="14"/>
      <c r="C218" s="14"/>
      <c r="D218" s="14"/>
      <c r="E218" s="14"/>
      <c r="F218" s="14"/>
      <c r="G218" s="25"/>
      <c r="H218" s="25"/>
      <c r="I218" s="26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 ht="12.75" customHeight="1">
      <c r="A219" s="24"/>
      <c r="B219" s="14"/>
      <c r="C219" s="14"/>
      <c r="D219" s="14"/>
      <c r="E219" s="14"/>
      <c r="F219" s="14"/>
      <c r="G219" s="25"/>
      <c r="H219" s="25"/>
      <c r="I219" s="26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 ht="12.75" customHeight="1">
      <c r="A220" s="24"/>
      <c r="B220" s="14"/>
      <c r="C220" s="14"/>
      <c r="D220" s="14"/>
      <c r="E220" s="14"/>
      <c r="F220" s="14"/>
      <c r="G220" s="25"/>
      <c r="H220" s="25"/>
      <c r="I220" s="26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 ht="12.75" customHeight="1">
      <c r="A221" s="24"/>
      <c r="B221" s="14"/>
      <c r="C221" s="14"/>
      <c r="D221" s="14"/>
      <c r="E221" s="14"/>
      <c r="F221" s="14"/>
      <c r="G221" s="25"/>
      <c r="H221" s="25"/>
      <c r="I221" s="26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 ht="12.75" customHeight="1">
      <c r="A222" s="24"/>
      <c r="B222" s="14"/>
      <c r="C222" s="14"/>
      <c r="D222" s="14"/>
      <c r="E222" s="14"/>
      <c r="F222" s="14"/>
      <c r="G222" s="25"/>
      <c r="H222" s="25"/>
      <c r="I222" s="26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 ht="12.75" customHeight="1">
      <c r="A223" s="24"/>
      <c r="B223" s="14"/>
      <c r="C223" s="14"/>
      <c r="D223" s="14"/>
      <c r="E223" s="14"/>
      <c r="F223" s="14"/>
      <c r="G223" s="25"/>
      <c r="H223" s="25"/>
      <c r="I223" s="26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 ht="12.75" customHeight="1">
      <c r="A224" s="24"/>
      <c r="B224" s="14"/>
      <c r="C224" s="14"/>
      <c r="D224" s="14"/>
      <c r="E224" s="14"/>
      <c r="F224" s="14"/>
      <c r="G224" s="25"/>
      <c r="H224" s="25"/>
      <c r="I224" s="26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 ht="12.75" customHeight="1">
      <c r="A225" s="24"/>
      <c r="B225" s="14"/>
      <c r="C225" s="14"/>
      <c r="D225" s="14"/>
      <c r="E225" s="14"/>
      <c r="F225" s="14"/>
      <c r="G225" s="25"/>
      <c r="H225" s="25"/>
      <c r="I225" s="26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 ht="12.75" customHeight="1">
      <c r="A226" s="24"/>
      <c r="B226" s="14"/>
      <c r="C226" s="14"/>
      <c r="D226" s="14"/>
      <c r="E226" s="14"/>
      <c r="F226" s="14"/>
      <c r="G226" s="25"/>
      <c r="H226" s="25"/>
      <c r="I226" s="26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 ht="12.75" customHeight="1">
      <c r="A227" s="24"/>
      <c r="B227" s="14"/>
      <c r="C227" s="14"/>
      <c r="D227" s="14"/>
      <c r="E227" s="14"/>
      <c r="F227" s="14"/>
      <c r="G227" s="25"/>
      <c r="H227" s="25"/>
      <c r="I227" s="26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 ht="12.75" customHeight="1">
      <c r="A228" s="24"/>
      <c r="B228" s="14"/>
      <c r="C228" s="14"/>
      <c r="D228" s="14"/>
      <c r="E228" s="14"/>
      <c r="F228" s="14"/>
      <c r="G228" s="25"/>
      <c r="H228" s="25"/>
      <c r="I228" s="26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 ht="12.75" customHeight="1">
      <c r="A229" s="24"/>
      <c r="B229" s="14"/>
      <c r="C229" s="14"/>
      <c r="D229" s="14"/>
      <c r="E229" s="14"/>
      <c r="F229" s="14"/>
      <c r="G229" s="25"/>
      <c r="H229" s="25"/>
      <c r="I229" s="26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 ht="12.75" customHeight="1">
      <c r="A230" s="24"/>
      <c r="B230" s="14"/>
      <c r="C230" s="14"/>
      <c r="D230" s="14"/>
      <c r="E230" s="14"/>
      <c r="F230" s="14"/>
      <c r="G230" s="25"/>
      <c r="H230" s="25"/>
      <c r="I230" s="26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 ht="12.75" customHeight="1">
      <c r="A231" s="24"/>
      <c r="B231" s="14"/>
      <c r="C231" s="14"/>
      <c r="D231" s="14"/>
      <c r="E231" s="14"/>
      <c r="F231" s="14"/>
      <c r="G231" s="25"/>
      <c r="H231" s="25"/>
      <c r="I231" s="26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 ht="12.75" customHeight="1">
      <c r="A232" s="24"/>
      <c r="B232" s="14"/>
      <c r="C232" s="14"/>
      <c r="D232" s="14"/>
      <c r="E232" s="14"/>
      <c r="F232" s="14"/>
      <c r="G232" s="25"/>
      <c r="H232" s="25"/>
      <c r="I232" s="26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 ht="12.75" customHeight="1">
      <c r="A233" s="24"/>
      <c r="B233" s="14"/>
      <c r="C233" s="14"/>
      <c r="D233" s="14"/>
      <c r="E233" s="14"/>
      <c r="F233" s="14"/>
      <c r="G233" s="25"/>
      <c r="H233" s="25"/>
      <c r="I233" s="26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 ht="12.75" customHeight="1">
      <c r="A234" s="24"/>
      <c r="B234" s="14"/>
      <c r="C234" s="14"/>
      <c r="D234" s="14"/>
      <c r="E234" s="14"/>
      <c r="F234" s="14"/>
      <c r="G234" s="25"/>
      <c r="H234" s="25"/>
      <c r="I234" s="26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 ht="12.75" customHeight="1">
      <c r="A235" s="24"/>
      <c r="B235" s="14"/>
      <c r="C235" s="14"/>
      <c r="D235" s="14"/>
      <c r="E235" s="14"/>
      <c r="F235" s="14"/>
      <c r="G235" s="25"/>
      <c r="H235" s="25"/>
      <c r="I235" s="26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 ht="12.75" customHeight="1">
      <c r="A236" s="24"/>
      <c r="B236" s="14"/>
      <c r="C236" s="14"/>
      <c r="D236" s="14"/>
      <c r="E236" s="14"/>
      <c r="F236" s="14"/>
      <c r="G236" s="25"/>
      <c r="H236" s="25"/>
      <c r="I236" s="26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 ht="12.75" customHeight="1">
      <c r="A237" s="24"/>
      <c r="B237" s="14"/>
      <c r="C237" s="14"/>
      <c r="D237" s="14"/>
      <c r="E237" s="14"/>
      <c r="F237" s="14"/>
      <c r="G237" s="25"/>
      <c r="H237" s="25"/>
      <c r="I237" s="26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 ht="12.75" customHeight="1">
      <c r="A238" s="24"/>
      <c r="B238" s="14"/>
      <c r="C238" s="14"/>
      <c r="D238" s="14"/>
      <c r="E238" s="14"/>
      <c r="F238" s="14"/>
      <c r="G238" s="25"/>
      <c r="H238" s="25"/>
      <c r="I238" s="26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 ht="12.75" customHeight="1">
      <c r="A239" s="24"/>
      <c r="B239" s="14"/>
      <c r="C239" s="14"/>
      <c r="D239" s="14"/>
      <c r="E239" s="14"/>
      <c r="F239" s="14"/>
      <c r="G239" s="25"/>
      <c r="H239" s="25"/>
      <c r="I239" s="26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 ht="12.75" customHeight="1">
      <c r="A240" s="24"/>
      <c r="B240" s="14"/>
      <c r="C240" s="14"/>
      <c r="D240" s="14"/>
      <c r="E240" s="14"/>
      <c r="F240" s="14"/>
      <c r="G240" s="25"/>
      <c r="H240" s="25"/>
      <c r="I240" s="26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 ht="12.75" customHeight="1">
      <c r="A241" s="24"/>
      <c r="B241" s="14"/>
      <c r="C241" s="14"/>
      <c r="D241" s="14"/>
      <c r="E241" s="14"/>
      <c r="F241" s="14"/>
      <c r="G241" s="25"/>
      <c r="H241" s="25"/>
      <c r="I241" s="26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 ht="12.75" customHeight="1">
      <c r="A242" s="24"/>
      <c r="B242" s="14"/>
      <c r="C242" s="14"/>
      <c r="D242" s="14"/>
      <c r="E242" s="14"/>
      <c r="F242" s="14"/>
      <c r="G242" s="25"/>
      <c r="H242" s="25"/>
      <c r="I242" s="26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 ht="12.75" customHeight="1">
      <c r="A243" s="24"/>
      <c r="B243" s="14"/>
      <c r="C243" s="14"/>
      <c r="D243" s="14"/>
      <c r="E243" s="14"/>
      <c r="F243" s="14"/>
      <c r="G243" s="25"/>
      <c r="H243" s="25"/>
      <c r="I243" s="26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 ht="12.75" customHeight="1">
      <c r="A244" s="24"/>
      <c r="B244" s="14"/>
      <c r="C244" s="14"/>
      <c r="D244" s="14"/>
      <c r="E244" s="14"/>
      <c r="F244" s="14"/>
      <c r="G244" s="25"/>
      <c r="H244" s="25"/>
      <c r="I244" s="26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 ht="12.75" customHeight="1">
      <c r="A245" s="24"/>
      <c r="B245" s="14"/>
      <c r="C245" s="14"/>
      <c r="D245" s="14"/>
      <c r="E245" s="14"/>
      <c r="F245" s="14"/>
      <c r="G245" s="25"/>
      <c r="H245" s="25"/>
      <c r="I245" s="26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 ht="12.75" customHeight="1">
      <c r="A246" s="24"/>
      <c r="B246" s="14"/>
      <c r="C246" s="14"/>
      <c r="D246" s="14"/>
      <c r="E246" s="14"/>
      <c r="F246" s="14"/>
      <c r="G246" s="25"/>
      <c r="H246" s="25"/>
      <c r="I246" s="26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 ht="12.75" customHeight="1">
      <c r="A247" s="24"/>
      <c r="B247" s="14"/>
      <c r="C247" s="14"/>
      <c r="D247" s="14"/>
      <c r="E247" s="14"/>
      <c r="F247" s="14"/>
      <c r="G247" s="25"/>
      <c r="H247" s="25"/>
      <c r="I247" s="26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 ht="12.75" customHeight="1">
      <c r="A248" s="24"/>
      <c r="B248" s="14"/>
      <c r="C248" s="14"/>
      <c r="D248" s="14"/>
      <c r="E248" s="14"/>
      <c r="F248" s="14"/>
      <c r="G248" s="25"/>
      <c r="H248" s="25"/>
      <c r="I248" s="26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 ht="12.75" customHeight="1">
      <c r="A249" s="24"/>
      <c r="B249" s="14"/>
      <c r="C249" s="14"/>
      <c r="D249" s="14"/>
      <c r="E249" s="14"/>
      <c r="F249" s="14"/>
      <c r="G249" s="25"/>
      <c r="H249" s="25"/>
      <c r="I249" s="26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 ht="12.75" customHeight="1">
      <c r="A250" s="24"/>
      <c r="B250" s="14"/>
      <c r="C250" s="14"/>
      <c r="D250" s="14"/>
      <c r="E250" s="14"/>
      <c r="F250" s="14"/>
      <c r="G250" s="25"/>
      <c r="H250" s="25"/>
      <c r="I250" s="26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 ht="12.75" customHeight="1">
      <c r="A251" s="24"/>
      <c r="B251" s="14"/>
      <c r="C251" s="14"/>
      <c r="D251" s="14"/>
      <c r="E251" s="14"/>
      <c r="F251" s="14"/>
      <c r="G251" s="25"/>
      <c r="H251" s="25"/>
      <c r="I251" s="26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 ht="12.75" customHeight="1">
      <c r="A252" s="24"/>
      <c r="B252" s="14"/>
      <c r="C252" s="14"/>
      <c r="D252" s="14"/>
      <c r="E252" s="14"/>
      <c r="F252" s="14"/>
      <c r="G252" s="25"/>
      <c r="H252" s="25"/>
      <c r="I252" s="26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 ht="12.75" customHeight="1">
      <c r="A253" s="24"/>
      <c r="B253" s="14"/>
      <c r="C253" s="14"/>
      <c r="D253" s="14"/>
      <c r="E253" s="14"/>
      <c r="F253" s="14"/>
      <c r="G253" s="25"/>
      <c r="H253" s="25"/>
      <c r="I253" s="26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 ht="12.75" customHeight="1">
      <c r="A254" s="24"/>
      <c r="B254" s="14"/>
      <c r="C254" s="14"/>
      <c r="D254" s="14"/>
      <c r="E254" s="14"/>
      <c r="F254" s="14"/>
      <c r="G254" s="25"/>
      <c r="H254" s="25"/>
      <c r="I254" s="26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 ht="12.75" customHeight="1">
      <c r="A255" s="24"/>
      <c r="B255" s="14"/>
      <c r="C255" s="14"/>
      <c r="D255" s="14"/>
      <c r="E255" s="14"/>
      <c r="F255" s="14"/>
      <c r="G255" s="25"/>
      <c r="H255" s="25"/>
      <c r="I255" s="26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 ht="12.75" customHeight="1">
      <c r="A256" s="24"/>
      <c r="B256" s="14"/>
      <c r="C256" s="14"/>
      <c r="D256" s="14"/>
      <c r="E256" s="14"/>
      <c r="F256" s="14"/>
      <c r="G256" s="25"/>
      <c r="H256" s="25"/>
      <c r="I256" s="26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 ht="12.75" customHeight="1">
      <c r="A257" s="24"/>
      <c r="B257" s="14"/>
      <c r="C257" s="14"/>
      <c r="D257" s="14"/>
      <c r="E257" s="14"/>
      <c r="F257" s="14"/>
      <c r="G257" s="25"/>
      <c r="H257" s="25"/>
      <c r="I257" s="26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 ht="12.75" customHeight="1">
      <c r="A258" s="24"/>
      <c r="B258" s="14"/>
      <c r="C258" s="14"/>
      <c r="D258" s="14"/>
      <c r="E258" s="14"/>
      <c r="F258" s="14"/>
      <c r="G258" s="25"/>
      <c r="H258" s="25"/>
      <c r="I258" s="26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 ht="12.75" customHeight="1">
      <c r="A259" s="24"/>
      <c r="B259" s="14"/>
      <c r="C259" s="14"/>
      <c r="D259" s="14"/>
      <c r="E259" s="14"/>
      <c r="F259" s="14"/>
      <c r="G259" s="25"/>
      <c r="H259" s="25"/>
      <c r="I259" s="26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 ht="12.75" customHeight="1">
      <c r="A260" s="24"/>
      <c r="B260" s="14"/>
      <c r="C260" s="14"/>
      <c r="D260" s="14"/>
      <c r="E260" s="14"/>
      <c r="F260" s="14"/>
      <c r="G260" s="25"/>
      <c r="H260" s="25"/>
      <c r="I260" s="26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 ht="12.75" customHeight="1">
      <c r="A261" s="24"/>
      <c r="B261" s="14"/>
      <c r="C261" s="14"/>
      <c r="D261" s="14"/>
      <c r="E261" s="14"/>
      <c r="F261" s="14"/>
      <c r="G261" s="25"/>
      <c r="H261" s="25"/>
      <c r="I261" s="26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 ht="12.75" customHeight="1">
      <c r="A262" s="24"/>
      <c r="B262" s="14"/>
      <c r="C262" s="14"/>
      <c r="D262" s="14"/>
      <c r="E262" s="14"/>
      <c r="F262" s="14"/>
      <c r="G262" s="25"/>
      <c r="H262" s="25"/>
      <c r="I262" s="26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 ht="12.75" customHeight="1">
      <c r="A263" s="24"/>
      <c r="B263" s="14"/>
      <c r="C263" s="14"/>
      <c r="D263" s="14"/>
      <c r="E263" s="14"/>
      <c r="F263" s="14"/>
      <c r="G263" s="25"/>
      <c r="H263" s="25"/>
      <c r="I263" s="26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 ht="12.75" customHeight="1">
      <c r="A264" s="24"/>
      <c r="B264" s="14"/>
      <c r="C264" s="14"/>
      <c r="D264" s="14"/>
      <c r="E264" s="14"/>
      <c r="F264" s="14"/>
      <c r="G264" s="25"/>
      <c r="H264" s="25"/>
      <c r="I264" s="26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 ht="12.75" customHeight="1">
      <c r="A265" s="24"/>
      <c r="B265" s="14"/>
      <c r="C265" s="14"/>
      <c r="D265" s="14"/>
      <c r="E265" s="14"/>
      <c r="F265" s="14"/>
      <c r="G265" s="25"/>
      <c r="H265" s="25"/>
      <c r="I265" s="26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 ht="12.75" customHeight="1">
      <c r="A266" s="24"/>
      <c r="B266" s="14"/>
      <c r="C266" s="14"/>
      <c r="D266" s="14"/>
      <c r="E266" s="14"/>
      <c r="F266" s="14"/>
      <c r="G266" s="25"/>
      <c r="H266" s="25"/>
      <c r="I266" s="26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 ht="12.75" customHeight="1">
      <c r="A267" s="24"/>
      <c r="B267" s="14"/>
      <c r="C267" s="14"/>
      <c r="D267" s="14"/>
      <c r="E267" s="14"/>
      <c r="F267" s="14"/>
      <c r="G267" s="25"/>
      <c r="H267" s="25"/>
      <c r="I267" s="26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 ht="12.75" customHeight="1">
      <c r="A268" s="24"/>
      <c r="B268" s="14"/>
      <c r="C268" s="14"/>
      <c r="D268" s="14"/>
      <c r="E268" s="14"/>
      <c r="F268" s="14"/>
      <c r="G268" s="25"/>
      <c r="H268" s="25"/>
      <c r="I268" s="26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 ht="12.75" customHeight="1">
      <c r="A269" s="24"/>
      <c r="B269" s="14"/>
      <c r="C269" s="14"/>
      <c r="D269" s="14"/>
      <c r="E269" s="14"/>
      <c r="F269" s="14"/>
      <c r="G269" s="25"/>
      <c r="H269" s="25"/>
      <c r="I269" s="26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 ht="12.75" customHeight="1">
      <c r="A270" s="24"/>
      <c r="B270" s="14"/>
      <c r="C270" s="14"/>
      <c r="D270" s="14"/>
      <c r="E270" s="14"/>
      <c r="F270" s="14"/>
      <c r="G270" s="25"/>
      <c r="H270" s="25"/>
      <c r="I270" s="26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 ht="12.75" customHeight="1">
      <c r="A271" s="24"/>
      <c r="B271" s="14"/>
      <c r="C271" s="14"/>
      <c r="D271" s="14"/>
      <c r="E271" s="14"/>
      <c r="F271" s="14"/>
      <c r="G271" s="25"/>
      <c r="H271" s="25"/>
      <c r="I271" s="26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 ht="12.75" customHeight="1">
      <c r="A272" s="24"/>
      <c r="B272" s="14"/>
      <c r="C272" s="14"/>
      <c r="D272" s="14"/>
      <c r="E272" s="14"/>
      <c r="F272" s="14"/>
      <c r="G272" s="25"/>
      <c r="H272" s="25"/>
      <c r="I272" s="26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 ht="12.75" customHeight="1">
      <c r="A273" s="24"/>
      <c r="B273" s="14"/>
      <c r="C273" s="14"/>
      <c r="D273" s="14"/>
      <c r="E273" s="14"/>
      <c r="F273" s="14"/>
      <c r="G273" s="25"/>
      <c r="H273" s="25"/>
      <c r="I273" s="26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 ht="12.75" customHeight="1">
      <c r="A274" s="24"/>
      <c r="B274" s="14"/>
      <c r="C274" s="14"/>
      <c r="D274" s="14"/>
      <c r="E274" s="14"/>
      <c r="F274" s="14"/>
      <c r="G274" s="25"/>
      <c r="H274" s="25"/>
      <c r="I274" s="26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 ht="12.75" customHeight="1">
      <c r="A275" s="24"/>
      <c r="B275" s="14"/>
      <c r="C275" s="14"/>
      <c r="D275" s="14"/>
      <c r="E275" s="14"/>
      <c r="F275" s="14"/>
      <c r="G275" s="25"/>
      <c r="H275" s="25"/>
      <c r="I275" s="26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 ht="12.75" customHeight="1">
      <c r="A276" s="24"/>
      <c r="B276" s="14"/>
      <c r="C276" s="14"/>
      <c r="D276" s="14"/>
      <c r="E276" s="14"/>
      <c r="F276" s="14"/>
      <c r="G276" s="25"/>
      <c r="H276" s="25"/>
      <c r="I276" s="26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 ht="12.75" customHeight="1">
      <c r="A277" s="24"/>
      <c r="B277" s="14"/>
      <c r="C277" s="14"/>
      <c r="D277" s="14"/>
      <c r="E277" s="14"/>
      <c r="F277" s="14"/>
      <c r="G277" s="25"/>
      <c r="H277" s="25"/>
      <c r="I277" s="26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 ht="12.75" customHeight="1">
      <c r="A278" s="24"/>
      <c r="B278" s="14"/>
      <c r="C278" s="14"/>
      <c r="D278" s="14"/>
      <c r="E278" s="14"/>
      <c r="F278" s="14"/>
      <c r="G278" s="25"/>
      <c r="H278" s="25"/>
      <c r="I278" s="26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 ht="12.75" customHeight="1">
      <c r="A279" s="24"/>
      <c r="B279" s="14"/>
      <c r="C279" s="14"/>
      <c r="D279" s="14"/>
      <c r="E279" s="14"/>
      <c r="F279" s="14"/>
      <c r="G279" s="25"/>
      <c r="H279" s="25"/>
      <c r="I279" s="26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 ht="12.75" customHeight="1">
      <c r="A280" s="24"/>
      <c r="B280" s="14"/>
      <c r="C280" s="14"/>
      <c r="D280" s="14"/>
      <c r="E280" s="14"/>
      <c r="F280" s="14"/>
      <c r="G280" s="25"/>
      <c r="H280" s="25"/>
      <c r="I280" s="26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 ht="12.75" customHeight="1">
      <c r="A281" s="24"/>
      <c r="B281" s="14"/>
      <c r="C281" s="14"/>
      <c r="D281" s="14"/>
      <c r="E281" s="14"/>
      <c r="F281" s="14"/>
      <c r="G281" s="25"/>
      <c r="H281" s="25"/>
      <c r="I281" s="26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 ht="12.75" customHeight="1">
      <c r="A282" s="24"/>
      <c r="B282" s="14"/>
      <c r="C282" s="14"/>
      <c r="D282" s="14"/>
      <c r="E282" s="14"/>
      <c r="F282" s="14"/>
      <c r="G282" s="25"/>
      <c r="H282" s="25"/>
      <c r="I282" s="26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 ht="12.75" customHeight="1">
      <c r="A283" s="24"/>
      <c r="B283" s="14"/>
      <c r="C283" s="14"/>
      <c r="D283" s="14"/>
      <c r="E283" s="14"/>
      <c r="F283" s="14"/>
      <c r="G283" s="25"/>
      <c r="H283" s="25"/>
      <c r="I283" s="26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 ht="12.75" customHeight="1">
      <c r="A284" s="24"/>
      <c r="B284" s="14"/>
      <c r="C284" s="14"/>
      <c r="D284" s="14"/>
      <c r="E284" s="14"/>
      <c r="F284" s="14"/>
      <c r="G284" s="25"/>
      <c r="H284" s="25"/>
      <c r="I284" s="26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 ht="12.75" customHeight="1">
      <c r="A285" s="24"/>
      <c r="B285" s="14"/>
      <c r="C285" s="14"/>
      <c r="D285" s="14"/>
      <c r="E285" s="14"/>
      <c r="F285" s="14"/>
      <c r="G285" s="25"/>
      <c r="H285" s="25"/>
      <c r="I285" s="26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 ht="12.75" customHeight="1">
      <c r="A286" s="24"/>
      <c r="B286" s="14"/>
      <c r="C286" s="14"/>
      <c r="D286" s="14"/>
      <c r="E286" s="14"/>
      <c r="F286" s="14"/>
      <c r="G286" s="25"/>
      <c r="H286" s="25"/>
      <c r="I286" s="26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 ht="12.75" customHeight="1">
      <c r="A287" s="24"/>
      <c r="B287" s="14"/>
      <c r="C287" s="14"/>
      <c r="D287" s="14"/>
      <c r="E287" s="14"/>
      <c r="F287" s="14"/>
      <c r="G287" s="25"/>
      <c r="H287" s="25"/>
      <c r="I287" s="26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 ht="12.75" customHeight="1">
      <c r="A288" s="24"/>
      <c r="B288" s="14"/>
      <c r="C288" s="14"/>
      <c r="D288" s="14"/>
      <c r="E288" s="14"/>
      <c r="F288" s="14"/>
      <c r="G288" s="25"/>
      <c r="H288" s="25"/>
      <c r="I288" s="26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 ht="12.75" customHeight="1">
      <c r="A289" s="24"/>
      <c r="B289" s="14"/>
      <c r="C289" s="14"/>
      <c r="D289" s="14"/>
      <c r="E289" s="14"/>
      <c r="F289" s="14"/>
      <c r="G289" s="25"/>
      <c r="H289" s="25"/>
      <c r="I289" s="26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 ht="12.75" customHeight="1">
      <c r="A290" s="24"/>
      <c r="B290" s="14"/>
      <c r="C290" s="14"/>
      <c r="D290" s="14"/>
      <c r="E290" s="14"/>
      <c r="F290" s="14"/>
      <c r="G290" s="25"/>
      <c r="H290" s="25"/>
      <c r="I290" s="26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 ht="12.75" customHeight="1">
      <c r="A291" s="24"/>
      <c r="B291" s="14"/>
      <c r="C291" s="14"/>
      <c r="D291" s="14"/>
      <c r="E291" s="14"/>
      <c r="F291" s="14"/>
      <c r="G291" s="25"/>
      <c r="H291" s="25"/>
      <c r="I291" s="26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 ht="12.75" customHeight="1">
      <c r="A292" s="24"/>
      <c r="B292" s="14"/>
      <c r="C292" s="14"/>
      <c r="D292" s="14"/>
      <c r="E292" s="14"/>
      <c r="F292" s="14"/>
      <c r="G292" s="25"/>
      <c r="H292" s="25"/>
      <c r="I292" s="26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 ht="12.75" customHeight="1">
      <c r="A293" s="24"/>
      <c r="B293" s="14"/>
      <c r="C293" s="14"/>
      <c r="D293" s="14"/>
      <c r="E293" s="14"/>
      <c r="F293" s="14"/>
      <c r="G293" s="25"/>
      <c r="H293" s="25"/>
      <c r="I293" s="26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 ht="12.75" customHeight="1">
      <c r="A294" s="24"/>
      <c r="B294" s="14"/>
      <c r="C294" s="14"/>
      <c r="D294" s="14"/>
      <c r="E294" s="14"/>
      <c r="F294" s="14"/>
      <c r="G294" s="25"/>
      <c r="H294" s="25"/>
      <c r="I294" s="26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 ht="12.75" customHeight="1">
      <c r="A295" s="24"/>
      <c r="B295" s="14"/>
      <c r="C295" s="14"/>
      <c r="D295" s="14"/>
      <c r="E295" s="14"/>
      <c r="F295" s="14"/>
      <c r="G295" s="25"/>
      <c r="H295" s="25"/>
      <c r="I295" s="26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 ht="12.75" customHeight="1">
      <c r="A296" s="24"/>
      <c r="B296" s="14"/>
      <c r="C296" s="14"/>
      <c r="D296" s="14"/>
      <c r="E296" s="14"/>
      <c r="F296" s="14"/>
      <c r="G296" s="25"/>
      <c r="H296" s="25"/>
      <c r="I296" s="26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 ht="12.75" customHeight="1">
      <c r="A297" s="24"/>
      <c r="B297" s="14"/>
      <c r="C297" s="14"/>
      <c r="D297" s="14"/>
      <c r="E297" s="14"/>
      <c r="F297" s="14"/>
      <c r="G297" s="25"/>
      <c r="H297" s="25"/>
      <c r="I297" s="26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 ht="12.75" customHeight="1">
      <c r="A298" s="24"/>
      <c r="B298" s="14"/>
      <c r="C298" s="14"/>
      <c r="D298" s="14"/>
      <c r="E298" s="14"/>
      <c r="F298" s="14"/>
      <c r="G298" s="25"/>
      <c r="H298" s="25"/>
      <c r="I298" s="26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 ht="12.75" customHeight="1">
      <c r="A299" s="24"/>
      <c r="B299" s="14"/>
      <c r="C299" s="14"/>
      <c r="D299" s="14"/>
      <c r="E299" s="14"/>
      <c r="F299" s="14"/>
      <c r="G299" s="25"/>
      <c r="H299" s="25"/>
      <c r="I299" s="26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 ht="12.75" customHeight="1">
      <c r="A300" s="24"/>
      <c r="B300" s="14"/>
      <c r="C300" s="14"/>
      <c r="D300" s="14"/>
      <c r="E300" s="14"/>
      <c r="F300" s="14"/>
      <c r="G300" s="25"/>
      <c r="H300" s="25"/>
      <c r="I300" s="26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 ht="12.75" customHeight="1">
      <c r="A301" s="24"/>
      <c r="B301" s="14"/>
      <c r="C301" s="14"/>
      <c r="D301" s="14"/>
      <c r="E301" s="14"/>
      <c r="F301" s="14"/>
      <c r="G301" s="25"/>
      <c r="H301" s="25"/>
      <c r="I301" s="26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 ht="12.75" customHeight="1">
      <c r="A302" s="24"/>
      <c r="B302" s="14"/>
      <c r="C302" s="14"/>
      <c r="D302" s="14"/>
      <c r="E302" s="14"/>
      <c r="F302" s="14"/>
      <c r="G302" s="25"/>
      <c r="H302" s="25"/>
      <c r="I302" s="26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 ht="12.75" customHeight="1">
      <c r="A303" s="24"/>
      <c r="B303" s="14"/>
      <c r="C303" s="14"/>
      <c r="D303" s="14"/>
      <c r="E303" s="14"/>
      <c r="F303" s="14"/>
      <c r="G303" s="25"/>
      <c r="H303" s="25"/>
      <c r="I303" s="26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 ht="12.75" customHeight="1">
      <c r="A304" s="24"/>
      <c r="B304" s="14"/>
      <c r="C304" s="14"/>
      <c r="D304" s="14"/>
      <c r="E304" s="14"/>
      <c r="F304" s="14"/>
      <c r="G304" s="25"/>
      <c r="H304" s="25"/>
      <c r="I304" s="26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 ht="12.75" customHeight="1">
      <c r="A305" s="24"/>
      <c r="B305" s="14"/>
      <c r="C305" s="14"/>
      <c r="D305" s="14"/>
      <c r="E305" s="14"/>
      <c r="F305" s="14"/>
      <c r="G305" s="25"/>
      <c r="H305" s="25"/>
      <c r="I305" s="26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 ht="12.75" customHeight="1">
      <c r="A306" s="24"/>
      <c r="B306" s="14"/>
      <c r="C306" s="14"/>
      <c r="D306" s="14"/>
      <c r="E306" s="14"/>
      <c r="F306" s="14"/>
      <c r="G306" s="25"/>
      <c r="H306" s="25"/>
      <c r="I306" s="26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 ht="12.75" customHeight="1">
      <c r="A307" s="24"/>
      <c r="B307" s="14"/>
      <c r="C307" s="14"/>
      <c r="D307" s="14"/>
      <c r="E307" s="14"/>
      <c r="F307" s="14"/>
      <c r="G307" s="25"/>
      <c r="H307" s="25"/>
      <c r="I307" s="26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 ht="12.75" customHeight="1">
      <c r="A308" s="24"/>
      <c r="B308" s="14"/>
      <c r="C308" s="14"/>
      <c r="D308" s="14"/>
      <c r="E308" s="14"/>
      <c r="F308" s="14"/>
      <c r="G308" s="25"/>
      <c r="H308" s="25"/>
      <c r="I308" s="26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 ht="12.75" customHeight="1">
      <c r="A309" s="24"/>
      <c r="B309" s="14"/>
      <c r="C309" s="14"/>
      <c r="D309" s="14"/>
      <c r="E309" s="14"/>
      <c r="F309" s="14"/>
      <c r="G309" s="25"/>
      <c r="H309" s="25"/>
      <c r="I309" s="26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 ht="12.75" customHeight="1">
      <c r="A310" s="24"/>
      <c r="B310" s="14"/>
      <c r="C310" s="14"/>
      <c r="D310" s="14"/>
      <c r="E310" s="14"/>
      <c r="F310" s="14"/>
      <c r="G310" s="25"/>
      <c r="H310" s="25"/>
      <c r="I310" s="26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 ht="12.75" customHeight="1">
      <c r="A311" s="24"/>
      <c r="B311" s="14"/>
      <c r="C311" s="14"/>
      <c r="D311" s="14"/>
      <c r="E311" s="14"/>
      <c r="F311" s="14"/>
      <c r="G311" s="25"/>
      <c r="H311" s="25"/>
      <c r="I311" s="26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 ht="12.75" customHeight="1">
      <c r="A312" s="24"/>
      <c r="B312" s="14"/>
      <c r="C312" s="14"/>
      <c r="D312" s="14"/>
      <c r="E312" s="14"/>
      <c r="F312" s="14"/>
      <c r="G312" s="25"/>
      <c r="H312" s="25"/>
      <c r="I312" s="26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 ht="12.75" customHeight="1">
      <c r="A313" s="24"/>
      <c r="B313" s="14"/>
      <c r="C313" s="14"/>
      <c r="D313" s="14"/>
      <c r="E313" s="14"/>
      <c r="F313" s="14"/>
      <c r="G313" s="25"/>
      <c r="H313" s="25"/>
      <c r="I313" s="26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 ht="12.75" customHeight="1">
      <c r="A314" s="24"/>
      <c r="B314" s="14"/>
      <c r="C314" s="14"/>
      <c r="D314" s="14"/>
      <c r="E314" s="14"/>
      <c r="F314" s="14"/>
      <c r="G314" s="25"/>
      <c r="H314" s="25"/>
      <c r="I314" s="26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 ht="12.75" customHeight="1">
      <c r="A315" s="24"/>
      <c r="B315" s="14"/>
      <c r="C315" s="14"/>
      <c r="D315" s="14"/>
      <c r="E315" s="14"/>
      <c r="F315" s="14"/>
      <c r="G315" s="25"/>
      <c r="H315" s="25"/>
      <c r="I315" s="26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 ht="12.75" customHeight="1">
      <c r="A316" s="24"/>
      <c r="B316" s="14"/>
      <c r="C316" s="14"/>
      <c r="D316" s="14"/>
      <c r="E316" s="14"/>
      <c r="F316" s="14"/>
      <c r="G316" s="25"/>
      <c r="H316" s="25"/>
      <c r="I316" s="26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 ht="12.75" customHeight="1">
      <c r="A317" s="24"/>
      <c r="B317" s="14"/>
      <c r="C317" s="14"/>
      <c r="D317" s="14"/>
      <c r="E317" s="14"/>
      <c r="F317" s="14"/>
      <c r="G317" s="25"/>
      <c r="H317" s="25"/>
      <c r="I317" s="26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 ht="12.75" customHeight="1">
      <c r="A318" s="24"/>
      <c r="B318" s="14"/>
      <c r="C318" s="14"/>
      <c r="D318" s="14"/>
      <c r="E318" s="14"/>
      <c r="F318" s="14"/>
      <c r="G318" s="25"/>
      <c r="H318" s="25"/>
      <c r="I318" s="26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 ht="12.75" customHeight="1">
      <c r="A319" s="24"/>
      <c r="B319" s="14"/>
      <c r="C319" s="14"/>
      <c r="D319" s="14"/>
      <c r="E319" s="14"/>
      <c r="F319" s="14"/>
      <c r="G319" s="25"/>
      <c r="H319" s="25"/>
      <c r="I319" s="26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 ht="12.75" customHeight="1">
      <c r="A320" s="24"/>
      <c r="B320" s="14"/>
      <c r="C320" s="14"/>
      <c r="D320" s="14"/>
      <c r="E320" s="14"/>
      <c r="F320" s="14"/>
      <c r="G320" s="25"/>
      <c r="H320" s="25"/>
      <c r="I320" s="26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 ht="12.75" customHeight="1">
      <c r="A321" s="24"/>
      <c r="B321" s="14"/>
      <c r="C321" s="14"/>
      <c r="D321" s="14"/>
      <c r="E321" s="14"/>
      <c r="F321" s="14"/>
      <c r="G321" s="25"/>
      <c r="H321" s="25"/>
      <c r="I321" s="26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 ht="12.75" customHeight="1">
      <c r="A322" s="24"/>
      <c r="B322" s="14"/>
      <c r="C322" s="14"/>
      <c r="D322" s="14"/>
      <c r="E322" s="14"/>
      <c r="F322" s="14"/>
      <c r="G322" s="25"/>
      <c r="H322" s="25"/>
      <c r="I322" s="26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 ht="12.75" customHeight="1">
      <c r="A323" s="24"/>
      <c r="B323" s="14"/>
      <c r="C323" s="14"/>
      <c r="D323" s="14"/>
      <c r="E323" s="14"/>
      <c r="F323" s="14"/>
      <c r="G323" s="25"/>
      <c r="H323" s="25"/>
      <c r="I323" s="26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 ht="12.75" customHeight="1">
      <c r="A324" s="24"/>
      <c r="B324" s="14"/>
      <c r="C324" s="14"/>
      <c r="D324" s="14"/>
      <c r="E324" s="14"/>
      <c r="F324" s="14"/>
      <c r="G324" s="25"/>
      <c r="H324" s="25"/>
      <c r="I324" s="26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 ht="12.75" customHeight="1">
      <c r="A325" s="24"/>
      <c r="B325" s="14"/>
      <c r="C325" s="14"/>
      <c r="D325" s="14"/>
      <c r="E325" s="14"/>
      <c r="F325" s="14"/>
      <c r="G325" s="25"/>
      <c r="H325" s="25"/>
      <c r="I325" s="26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 ht="12.75" customHeight="1">
      <c r="A326" s="24"/>
      <c r="B326" s="14"/>
      <c r="C326" s="14"/>
      <c r="D326" s="14"/>
      <c r="E326" s="14"/>
      <c r="F326" s="14"/>
      <c r="G326" s="25"/>
      <c r="H326" s="25"/>
      <c r="I326" s="26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 ht="12.75" customHeight="1">
      <c r="A327" s="24"/>
      <c r="B327" s="14"/>
      <c r="C327" s="14"/>
      <c r="D327" s="14"/>
      <c r="E327" s="14"/>
      <c r="F327" s="14"/>
      <c r="G327" s="25"/>
      <c r="H327" s="25"/>
      <c r="I327" s="26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 ht="12.75" customHeight="1">
      <c r="A328" s="24"/>
      <c r="B328" s="14"/>
      <c r="C328" s="14"/>
      <c r="D328" s="14"/>
      <c r="E328" s="14"/>
      <c r="F328" s="14"/>
      <c r="G328" s="25"/>
      <c r="H328" s="25"/>
      <c r="I328" s="26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 ht="12.75" customHeight="1">
      <c r="A329" s="24"/>
      <c r="B329" s="14"/>
      <c r="C329" s="14"/>
      <c r="D329" s="14"/>
      <c r="E329" s="14"/>
      <c r="F329" s="14"/>
      <c r="G329" s="25"/>
      <c r="H329" s="25"/>
      <c r="I329" s="26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 ht="12.75" customHeight="1">
      <c r="A330" s="24"/>
      <c r="B330" s="14"/>
      <c r="C330" s="14"/>
      <c r="D330" s="14"/>
      <c r="E330" s="14"/>
      <c r="F330" s="14"/>
      <c r="G330" s="25"/>
      <c r="H330" s="25"/>
      <c r="I330" s="26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 ht="12.75" customHeight="1">
      <c r="A331" s="24"/>
      <c r="B331" s="14"/>
      <c r="C331" s="14"/>
      <c r="D331" s="14"/>
      <c r="E331" s="14"/>
      <c r="F331" s="14"/>
      <c r="G331" s="25"/>
      <c r="H331" s="25"/>
      <c r="I331" s="26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 ht="12.75" customHeight="1">
      <c r="A332" s="24"/>
      <c r="B332" s="14"/>
      <c r="C332" s="14"/>
      <c r="D332" s="14"/>
      <c r="E332" s="14"/>
      <c r="F332" s="14"/>
      <c r="G332" s="25"/>
      <c r="H332" s="25"/>
      <c r="I332" s="26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 ht="12.75" customHeight="1">
      <c r="A333" s="24"/>
      <c r="B333" s="14"/>
      <c r="C333" s="14"/>
      <c r="D333" s="14"/>
      <c r="E333" s="14"/>
      <c r="F333" s="14"/>
      <c r="G333" s="25"/>
      <c r="H333" s="25"/>
      <c r="I333" s="26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 ht="12.75" customHeight="1">
      <c r="A334" s="24"/>
      <c r="B334" s="14"/>
      <c r="C334" s="14"/>
      <c r="D334" s="14"/>
      <c r="E334" s="14"/>
      <c r="F334" s="14"/>
      <c r="G334" s="25"/>
      <c r="H334" s="25"/>
      <c r="I334" s="26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 ht="12.75" customHeight="1">
      <c r="A335" s="24"/>
      <c r="B335" s="14"/>
      <c r="C335" s="14"/>
      <c r="D335" s="14"/>
      <c r="E335" s="14"/>
      <c r="F335" s="14"/>
      <c r="G335" s="25"/>
      <c r="H335" s="25"/>
      <c r="I335" s="26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 ht="12.75" customHeight="1">
      <c r="A336" s="24"/>
      <c r="B336" s="14"/>
      <c r="C336" s="14"/>
      <c r="D336" s="14"/>
      <c r="E336" s="14"/>
      <c r="F336" s="14"/>
      <c r="G336" s="25"/>
      <c r="H336" s="25"/>
      <c r="I336" s="26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 ht="12.75" customHeight="1">
      <c r="A337" s="24"/>
      <c r="B337" s="14"/>
      <c r="C337" s="14"/>
      <c r="D337" s="14"/>
      <c r="E337" s="14"/>
      <c r="F337" s="14"/>
      <c r="G337" s="25"/>
      <c r="H337" s="25"/>
      <c r="I337" s="26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 ht="12.75" customHeight="1">
      <c r="A338" s="24"/>
      <c r="B338" s="14"/>
      <c r="C338" s="14"/>
      <c r="D338" s="14"/>
      <c r="E338" s="14"/>
      <c r="F338" s="14"/>
      <c r="G338" s="25"/>
      <c r="H338" s="25"/>
      <c r="I338" s="26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 ht="12.75" customHeight="1">
      <c r="A339" s="24"/>
      <c r="B339" s="14"/>
      <c r="C339" s="14"/>
      <c r="D339" s="14"/>
      <c r="E339" s="14"/>
      <c r="F339" s="14"/>
      <c r="G339" s="25"/>
      <c r="H339" s="25"/>
      <c r="I339" s="26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 ht="12.75" customHeight="1">
      <c r="A340" s="24"/>
      <c r="B340" s="14"/>
      <c r="C340" s="14"/>
      <c r="D340" s="14"/>
      <c r="E340" s="14"/>
      <c r="F340" s="14"/>
      <c r="G340" s="25"/>
      <c r="H340" s="25"/>
      <c r="I340" s="26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</sheetData>
  <autoFilter ref="$A$1:$AB$142">
    <filterColumn colId="2">
      <filters>
        <filter val="BATEAS"/>
      </filters>
    </filterColumn>
    <sortState ref="A1:AB142">
      <sortCondition ref="D1:D142"/>
    </sortState>
  </autoFilter>
  <mergeCells count="2">
    <mergeCell ref="N143:P143"/>
    <mergeCell ref="N151:P151"/>
  </mergeCells>
  <printOptions/>
  <pageMargins bottom="0.7480314960629921" footer="0.0" header="0.0" left="0.25" right="0.13" top="0.7480314960629921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2026-03-31T11:06:01Z</dcterms:created>
  <dc:creator>Juan Francisco Riccobelli</dc:creator>
</cp:coreProperties>
</file>