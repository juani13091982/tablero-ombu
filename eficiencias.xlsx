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D:\Mi unidad\OMBÚ S.A. -MÁQUINAS Y REMOLQUES-\OMBU -CONTROL DE GESTIÓN PRODUCCIÓN-\EFICIENCIAS PLANTAS OMBU\REPORTES PLANTAS\tablero-ombu\"/>
    </mc:Choice>
  </mc:AlternateContent>
  <xr:revisionPtr revIDLastSave="0" documentId="13_ncr:1_{309BF422-DD0E-4B7E-A1DB-42FCBF69CD12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DATOS FINALES EFICIENCIAS_MAR26" sheetId="1" r:id="rId1"/>
  </sheets>
  <definedNames>
    <definedName name="_xlnm._FilterDatabase" localSheetId="0" hidden="1">'DATOS FINALES EFICIENCIAS_MAR26'!$A$1:$AD$171</definedName>
  </definedNames>
  <calcPr calcId="191029"/>
  <extLst>
    <ext uri="GoogleSheetsCustomDataVersion2">
      <go:sheetsCustomData xmlns:go="http://customooxmlschemas.google.com/" r:id="rId5" roundtripDataChecksum="MerIXfDQUgyxQ3YH7MXjLNdZ43nvRHAe2aVQ94b19g4="/>
    </ext>
  </extLst>
</workbook>
</file>

<file path=xl/calcChain.xml><?xml version="1.0" encoding="utf-8"?>
<calcChain xmlns="http://schemas.openxmlformats.org/spreadsheetml/2006/main">
  <c r="P145" i="1" l="1"/>
  <c r="Q145" i="1"/>
  <c r="P146" i="1"/>
  <c r="Q146" i="1"/>
  <c r="P147" i="1"/>
  <c r="Q147" i="1"/>
  <c r="P148" i="1"/>
  <c r="Q148" i="1"/>
  <c r="P149" i="1"/>
  <c r="Q149" i="1"/>
  <c r="P150" i="1"/>
  <c r="Q150" i="1"/>
  <c r="P151" i="1"/>
  <c r="Q151" i="1"/>
  <c r="P152" i="1"/>
  <c r="Q152" i="1"/>
  <c r="P153" i="1"/>
  <c r="Q153" i="1"/>
  <c r="P154" i="1"/>
  <c r="Q154" i="1"/>
  <c r="P155" i="1"/>
  <c r="Q155" i="1"/>
  <c r="P156" i="1"/>
  <c r="Q156" i="1"/>
  <c r="P157" i="1"/>
  <c r="Q157" i="1"/>
  <c r="P158" i="1"/>
  <c r="Q158" i="1"/>
  <c r="P159" i="1"/>
  <c r="Q159" i="1"/>
  <c r="P160" i="1"/>
  <c r="Q160" i="1"/>
  <c r="P161" i="1"/>
  <c r="Q161" i="1"/>
  <c r="P162" i="1"/>
  <c r="Q162" i="1"/>
  <c r="P163" i="1"/>
  <c r="Q163" i="1"/>
  <c r="P164" i="1"/>
  <c r="Q164" i="1"/>
  <c r="P165" i="1"/>
  <c r="Q165" i="1"/>
  <c r="P166" i="1"/>
  <c r="Q166" i="1"/>
  <c r="P167" i="1"/>
  <c r="Q167" i="1"/>
  <c r="P168" i="1"/>
  <c r="Q168" i="1"/>
  <c r="P169" i="1"/>
  <c r="Q169" i="1"/>
  <c r="P170" i="1"/>
  <c r="Q170" i="1"/>
  <c r="P171" i="1"/>
  <c r="Q171" i="1"/>
  <c r="I165" i="1"/>
  <c r="K165" i="1"/>
  <c r="R165" i="1"/>
  <c r="R150" i="1" l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6" i="1"/>
  <c r="R167" i="1"/>
  <c r="R168" i="1"/>
  <c r="R169" i="1"/>
  <c r="R170" i="1"/>
  <c r="R171" i="1"/>
  <c r="K171" i="1"/>
  <c r="K150" i="1"/>
  <c r="K151" i="1"/>
  <c r="K152" i="1"/>
  <c r="K153" i="1"/>
  <c r="K154" i="1"/>
  <c r="K155" i="1"/>
  <c r="K156" i="1"/>
  <c r="K157" i="1"/>
  <c r="K158" i="1"/>
  <c r="K159" i="1"/>
  <c r="K160" i="1"/>
  <c r="K161" i="1"/>
  <c r="K162" i="1"/>
  <c r="K163" i="1"/>
  <c r="K164" i="1"/>
  <c r="K166" i="1"/>
  <c r="K167" i="1"/>
  <c r="K168" i="1"/>
  <c r="K169" i="1"/>
  <c r="K170" i="1"/>
  <c r="I171" i="1" l="1"/>
  <c r="I170" i="1"/>
  <c r="I169" i="1"/>
  <c r="I168" i="1"/>
  <c r="I167" i="1"/>
  <c r="I166" i="1"/>
  <c r="I164" i="1"/>
  <c r="I163" i="1"/>
  <c r="I162" i="1"/>
  <c r="I161" i="1"/>
  <c r="I160" i="1"/>
  <c r="I159" i="1"/>
  <c r="I130" i="1"/>
  <c r="R149" i="1" l="1"/>
  <c r="K149" i="1"/>
  <c r="R148" i="1"/>
  <c r="K148" i="1"/>
  <c r="R147" i="1"/>
  <c r="K147" i="1"/>
  <c r="R146" i="1"/>
  <c r="K146" i="1"/>
  <c r="R145" i="1"/>
  <c r="K145" i="1"/>
  <c r="R132" i="1"/>
  <c r="P132" i="1"/>
  <c r="K132" i="1"/>
  <c r="Q132" i="1" s="1"/>
  <c r="R131" i="1"/>
  <c r="P131" i="1"/>
  <c r="K131" i="1"/>
  <c r="Q131" i="1" s="1"/>
  <c r="O144" i="1" l="1"/>
  <c r="O143" i="1"/>
  <c r="K144" i="1"/>
  <c r="R130" i="1"/>
  <c r="O130" i="1"/>
  <c r="K130" i="1" s="1"/>
  <c r="R129" i="1"/>
  <c r="O129" i="1"/>
  <c r="K129" i="1" s="1"/>
  <c r="I129" i="1"/>
  <c r="R128" i="1"/>
  <c r="O128" i="1"/>
  <c r="K128" i="1" s="1"/>
  <c r="I128" i="1"/>
  <c r="R127" i="1"/>
  <c r="O127" i="1"/>
  <c r="K127" i="1" s="1"/>
  <c r="I127" i="1"/>
  <c r="R99" i="1"/>
  <c r="K99" i="1"/>
  <c r="I99" i="1"/>
  <c r="P99" i="1" s="1"/>
  <c r="R70" i="1"/>
  <c r="K70" i="1"/>
  <c r="I70" i="1"/>
  <c r="R34" i="1"/>
  <c r="K34" i="1"/>
  <c r="I34" i="1"/>
  <c r="R126" i="1"/>
  <c r="O126" i="1"/>
  <c r="P126" i="1" s="1"/>
  <c r="R97" i="1"/>
  <c r="P97" i="1"/>
  <c r="K97" i="1"/>
  <c r="Q97" i="1" s="1"/>
  <c r="R68" i="1"/>
  <c r="P68" i="1"/>
  <c r="K68" i="1"/>
  <c r="Q68" i="1" s="1"/>
  <c r="R112" i="1"/>
  <c r="O112" i="1"/>
  <c r="P112" i="1" s="1"/>
  <c r="R121" i="1"/>
  <c r="O121" i="1"/>
  <c r="K121" i="1" s="1"/>
  <c r="G121" i="1"/>
  <c r="I121" i="1" s="1"/>
  <c r="R120" i="1"/>
  <c r="O120" i="1"/>
  <c r="K120" i="1" s="1"/>
  <c r="I120" i="1"/>
  <c r="R119" i="1"/>
  <c r="O119" i="1"/>
  <c r="K119" i="1"/>
  <c r="I119" i="1"/>
  <c r="R118" i="1"/>
  <c r="O118" i="1"/>
  <c r="K118" i="1" s="1"/>
  <c r="I118" i="1"/>
  <c r="R117" i="1"/>
  <c r="O117" i="1"/>
  <c r="K117" i="1" s="1"/>
  <c r="I117" i="1"/>
  <c r="R116" i="1"/>
  <c r="O116" i="1"/>
  <c r="K116" i="1" s="1"/>
  <c r="I116" i="1"/>
  <c r="P116" i="1" s="1"/>
  <c r="R115" i="1"/>
  <c r="O115" i="1"/>
  <c r="K115" i="1"/>
  <c r="I115" i="1"/>
  <c r="P115" i="1" s="1"/>
  <c r="R114" i="1"/>
  <c r="O114" i="1"/>
  <c r="K114" i="1" s="1"/>
  <c r="I114" i="1"/>
  <c r="P114" i="1" s="1"/>
  <c r="R32" i="1"/>
  <c r="P32" i="1"/>
  <c r="K32" i="1"/>
  <c r="Q32" i="1" s="1"/>
  <c r="R144" i="1"/>
  <c r="I144" i="1"/>
  <c r="R143" i="1"/>
  <c r="K143" i="1"/>
  <c r="I143" i="1"/>
  <c r="P143" i="1" s="1"/>
  <c r="R140" i="1"/>
  <c r="O140" i="1"/>
  <c r="K140" i="1"/>
  <c r="I140" i="1"/>
  <c r="P140" i="1" s="1"/>
  <c r="R142" i="1"/>
  <c r="O142" i="1"/>
  <c r="K142" i="1"/>
  <c r="I142" i="1"/>
  <c r="P142" i="1" s="1"/>
  <c r="R141" i="1"/>
  <c r="O141" i="1"/>
  <c r="K141" i="1" s="1"/>
  <c r="I141" i="1"/>
  <c r="R139" i="1"/>
  <c r="O139" i="1"/>
  <c r="K139" i="1" s="1"/>
  <c r="G139" i="1"/>
  <c r="I139" i="1" s="1"/>
  <c r="R125" i="1"/>
  <c r="O125" i="1"/>
  <c r="P125" i="1" s="1"/>
  <c r="R138" i="1"/>
  <c r="O138" i="1"/>
  <c r="K138" i="1" s="1"/>
  <c r="I138" i="1"/>
  <c r="R137" i="1"/>
  <c r="O137" i="1"/>
  <c r="K137" i="1" s="1"/>
  <c r="I137" i="1"/>
  <c r="R136" i="1"/>
  <c r="O136" i="1"/>
  <c r="K136" i="1" s="1"/>
  <c r="I136" i="1"/>
  <c r="R135" i="1"/>
  <c r="O135" i="1"/>
  <c r="K135" i="1"/>
  <c r="I135" i="1"/>
  <c r="R96" i="1"/>
  <c r="P96" i="1"/>
  <c r="K96" i="1"/>
  <c r="Q96" i="1" s="1"/>
  <c r="R67" i="1"/>
  <c r="P67" i="1"/>
  <c r="K67" i="1"/>
  <c r="Q67" i="1" s="1"/>
  <c r="R109" i="1"/>
  <c r="O109" i="1"/>
  <c r="P109" i="1" s="1"/>
  <c r="R108" i="1"/>
  <c r="O108" i="1"/>
  <c r="P108" i="1" s="1"/>
  <c r="R107" i="1"/>
  <c r="O107" i="1"/>
  <c r="K107" i="1" s="1"/>
  <c r="Q107" i="1" s="1"/>
  <c r="R106" i="1"/>
  <c r="O106" i="1"/>
  <c r="P106" i="1" s="1"/>
  <c r="K106" i="1"/>
  <c r="Q106" i="1" s="1"/>
  <c r="R105" i="1"/>
  <c r="O105" i="1"/>
  <c r="P105" i="1" s="1"/>
  <c r="K105" i="1"/>
  <c r="Q105" i="1" s="1"/>
  <c r="R104" i="1"/>
  <c r="O104" i="1"/>
  <c r="P104" i="1" s="1"/>
  <c r="R103" i="1"/>
  <c r="O103" i="1"/>
  <c r="K103" i="1" s="1"/>
  <c r="Q103" i="1" s="1"/>
  <c r="R102" i="1"/>
  <c r="K102" i="1"/>
  <c r="I102" i="1"/>
  <c r="P102" i="1" s="1"/>
  <c r="R101" i="1"/>
  <c r="K101" i="1"/>
  <c r="I101" i="1"/>
  <c r="P101" i="1" s="1"/>
  <c r="R100" i="1"/>
  <c r="K100" i="1"/>
  <c r="I100" i="1"/>
  <c r="R31" i="1"/>
  <c r="P31" i="1"/>
  <c r="K31" i="1"/>
  <c r="Q31" i="1" s="1"/>
  <c r="R98" i="1"/>
  <c r="K98" i="1"/>
  <c r="I98" i="1"/>
  <c r="P98" i="1" s="1"/>
  <c r="R124" i="1"/>
  <c r="O124" i="1"/>
  <c r="P124" i="1" s="1"/>
  <c r="K124" i="1"/>
  <c r="Q124" i="1" s="1"/>
  <c r="R95" i="1"/>
  <c r="P95" i="1"/>
  <c r="K95" i="1"/>
  <c r="Q95" i="1" s="1"/>
  <c r="R66" i="1"/>
  <c r="P66" i="1"/>
  <c r="K66" i="1"/>
  <c r="Q66" i="1" s="1"/>
  <c r="R30" i="1"/>
  <c r="P30" i="1"/>
  <c r="K30" i="1"/>
  <c r="Q30" i="1" s="1"/>
  <c r="R123" i="1"/>
  <c r="O123" i="1"/>
  <c r="P123" i="1" s="1"/>
  <c r="R94" i="1"/>
  <c r="P94" i="1"/>
  <c r="K94" i="1"/>
  <c r="Q94" i="1" s="1"/>
  <c r="R83" i="1"/>
  <c r="P83" i="1"/>
  <c r="K83" i="1"/>
  <c r="Q83" i="1" s="1"/>
  <c r="R92" i="1"/>
  <c r="K92" i="1"/>
  <c r="G92" i="1"/>
  <c r="I92" i="1" s="1"/>
  <c r="P92" i="1" s="1"/>
  <c r="R91" i="1"/>
  <c r="K91" i="1"/>
  <c r="I91" i="1"/>
  <c r="R90" i="1"/>
  <c r="K90" i="1"/>
  <c r="I90" i="1"/>
  <c r="R89" i="1"/>
  <c r="K89" i="1"/>
  <c r="I89" i="1"/>
  <c r="P89" i="1" s="1"/>
  <c r="R88" i="1"/>
  <c r="K88" i="1"/>
  <c r="I88" i="1"/>
  <c r="R87" i="1"/>
  <c r="K87" i="1"/>
  <c r="I87" i="1"/>
  <c r="P87" i="1" s="1"/>
  <c r="R86" i="1"/>
  <c r="K86" i="1"/>
  <c r="I86" i="1"/>
  <c r="P86" i="1" s="1"/>
  <c r="R85" i="1"/>
  <c r="K85" i="1"/>
  <c r="I85" i="1"/>
  <c r="P85" i="1" s="1"/>
  <c r="R65" i="1"/>
  <c r="P65" i="1"/>
  <c r="K65" i="1"/>
  <c r="Q65" i="1" s="1"/>
  <c r="R29" i="1"/>
  <c r="P29" i="1"/>
  <c r="K29" i="1"/>
  <c r="Q29" i="1" s="1"/>
  <c r="R80" i="1"/>
  <c r="P80" i="1"/>
  <c r="K80" i="1"/>
  <c r="Q80" i="1" s="1"/>
  <c r="R79" i="1"/>
  <c r="P79" i="1"/>
  <c r="K79" i="1"/>
  <c r="Q79" i="1" s="1"/>
  <c r="R78" i="1"/>
  <c r="P78" i="1"/>
  <c r="K78" i="1"/>
  <c r="Q78" i="1" s="1"/>
  <c r="R77" i="1"/>
  <c r="P77" i="1"/>
  <c r="K77" i="1"/>
  <c r="Q77" i="1" s="1"/>
  <c r="R76" i="1"/>
  <c r="P76" i="1"/>
  <c r="K76" i="1"/>
  <c r="Q76" i="1" s="1"/>
  <c r="R75" i="1"/>
  <c r="P75" i="1"/>
  <c r="K75" i="1"/>
  <c r="Q75" i="1" s="1"/>
  <c r="R74" i="1"/>
  <c r="P74" i="1"/>
  <c r="K74" i="1"/>
  <c r="Q74" i="1" s="1"/>
  <c r="R73" i="1"/>
  <c r="K73" i="1"/>
  <c r="I73" i="1"/>
  <c r="R72" i="1"/>
  <c r="K72" i="1"/>
  <c r="I72" i="1"/>
  <c r="P72" i="1" s="1"/>
  <c r="R71" i="1"/>
  <c r="K71" i="1"/>
  <c r="I71" i="1"/>
  <c r="R122" i="1"/>
  <c r="O122" i="1"/>
  <c r="P122" i="1" s="1"/>
  <c r="R69" i="1"/>
  <c r="K69" i="1"/>
  <c r="I69" i="1"/>
  <c r="P69" i="1" s="1"/>
  <c r="R93" i="1"/>
  <c r="P93" i="1"/>
  <c r="K93" i="1"/>
  <c r="Q93" i="1" s="1"/>
  <c r="R64" i="1"/>
  <c r="P64" i="1"/>
  <c r="K64" i="1"/>
  <c r="Q64" i="1" s="1"/>
  <c r="R28" i="1"/>
  <c r="P28" i="1"/>
  <c r="K28" i="1"/>
  <c r="Q28" i="1" s="1"/>
  <c r="R134" i="1"/>
  <c r="O134" i="1"/>
  <c r="K134" i="1" s="1"/>
  <c r="G134" i="1"/>
  <c r="I134" i="1" s="1"/>
  <c r="R133" i="1"/>
  <c r="O133" i="1"/>
  <c r="K133" i="1" s="1"/>
  <c r="G133" i="1"/>
  <c r="I133" i="1" s="1"/>
  <c r="R113" i="1"/>
  <c r="O113" i="1"/>
  <c r="P113" i="1" s="1"/>
  <c r="R54" i="1"/>
  <c r="P54" i="1"/>
  <c r="K54" i="1"/>
  <c r="Q54" i="1" s="1"/>
  <c r="R44" i="1"/>
  <c r="P44" i="1"/>
  <c r="K44" i="1"/>
  <c r="Q44" i="1" s="1"/>
  <c r="R9" i="1"/>
  <c r="K9" i="1"/>
  <c r="I9" i="1"/>
  <c r="R42" i="1"/>
  <c r="P42" i="1"/>
  <c r="K42" i="1"/>
  <c r="Q42" i="1" s="1"/>
  <c r="R43" i="1"/>
  <c r="P43" i="1"/>
  <c r="K43" i="1"/>
  <c r="Q43" i="1" s="1"/>
  <c r="R63" i="1"/>
  <c r="K63" i="1"/>
  <c r="G63" i="1"/>
  <c r="I63" i="1" s="1"/>
  <c r="R62" i="1"/>
  <c r="K62" i="1"/>
  <c r="I62" i="1"/>
  <c r="P62" i="1" s="1"/>
  <c r="R61" i="1"/>
  <c r="K61" i="1"/>
  <c r="I61" i="1"/>
  <c r="P61" i="1" s="1"/>
  <c r="R60" i="1"/>
  <c r="K60" i="1"/>
  <c r="I60" i="1"/>
  <c r="P60" i="1" s="1"/>
  <c r="R59" i="1"/>
  <c r="K59" i="1"/>
  <c r="I59" i="1"/>
  <c r="R58" i="1"/>
  <c r="K58" i="1"/>
  <c r="I58" i="1"/>
  <c r="R57" i="1"/>
  <c r="K57" i="1"/>
  <c r="I57" i="1"/>
  <c r="P57" i="1" s="1"/>
  <c r="R56" i="1"/>
  <c r="K56" i="1"/>
  <c r="I56" i="1"/>
  <c r="P56" i="1" s="1"/>
  <c r="R8" i="1"/>
  <c r="K8" i="1"/>
  <c r="I8" i="1"/>
  <c r="R41" i="1"/>
  <c r="P41" i="1"/>
  <c r="K41" i="1"/>
  <c r="Q41" i="1" s="1"/>
  <c r="R6" i="1"/>
  <c r="K6" i="1"/>
  <c r="I6" i="1"/>
  <c r="R84" i="1"/>
  <c r="P84" i="1"/>
  <c r="K84" i="1"/>
  <c r="Q84" i="1" s="1"/>
  <c r="R55" i="1"/>
  <c r="P55" i="1"/>
  <c r="K55" i="1"/>
  <c r="Q55" i="1" s="1"/>
  <c r="R51" i="1"/>
  <c r="P51" i="1"/>
  <c r="K51" i="1"/>
  <c r="Q51" i="1" s="1"/>
  <c r="R50" i="1"/>
  <c r="P50" i="1"/>
  <c r="K50" i="1"/>
  <c r="Q50" i="1" s="1"/>
  <c r="R49" i="1"/>
  <c r="P49" i="1"/>
  <c r="K49" i="1"/>
  <c r="Q49" i="1" s="1"/>
  <c r="R48" i="1"/>
  <c r="P48" i="1"/>
  <c r="K48" i="1"/>
  <c r="Q48" i="1" s="1"/>
  <c r="R47" i="1"/>
  <c r="P47" i="1"/>
  <c r="K47" i="1"/>
  <c r="Q47" i="1" s="1"/>
  <c r="R46" i="1"/>
  <c r="P46" i="1"/>
  <c r="K46" i="1"/>
  <c r="Q46" i="1" s="1"/>
  <c r="R45" i="1"/>
  <c r="P45" i="1"/>
  <c r="K45" i="1"/>
  <c r="Q45" i="1" s="1"/>
  <c r="R37" i="1"/>
  <c r="K37" i="1"/>
  <c r="I37" i="1"/>
  <c r="P37" i="1" s="1"/>
  <c r="R36" i="1"/>
  <c r="K36" i="1"/>
  <c r="I36" i="1"/>
  <c r="P36" i="1" s="1"/>
  <c r="R35" i="1"/>
  <c r="K35" i="1"/>
  <c r="I35" i="1"/>
  <c r="R19" i="1"/>
  <c r="P19" i="1"/>
  <c r="K19" i="1"/>
  <c r="Q19" i="1" s="1"/>
  <c r="R33" i="1"/>
  <c r="K33" i="1"/>
  <c r="I33" i="1"/>
  <c r="P33" i="1" s="1"/>
  <c r="R27" i="1"/>
  <c r="K27" i="1"/>
  <c r="G27" i="1"/>
  <c r="I27" i="1" s="1"/>
  <c r="Q27" i="1" s="1"/>
  <c r="R26" i="1"/>
  <c r="K26" i="1"/>
  <c r="I26" i="1"/>
  <c r="R25" i="1"/>
  <c r="K25" i="1"/>
  <c r="I25" i="1"/>
  <c r="P25" i="1" s="1"/>
  <c r="R24" i="1"/>
  <c r="K24" i="1"/>
  <c r="I24" i="1"/>
  <c r="P24" i="1" s="1"/>
  <c r="R23" i="1"/>
  <c r="K23" i="1"/>
  <c r="I23" i="1"/>
  <c r="R22" i="1"/>
  <c r="K22" i="1"/>
  <c r="I22" i="1"/>
  <c r="R21" i="1"/>
  <c r="K21" i="1"/>
  <c r="I21" i="1"/>
  <c r="R20" i="1"/>
  <c r="K20" i="1"/>
  <c r="I20" i="1"/>
  <c r="R111" i="1"/>
  <c r="O111" i="1"/>
  <c r="F111" i="1"/>
  <c r="R82" i="1"/>
  <c r="P82" i="1"/>
  <c r="K82" i="1"/>
  <c r="Q82" i="1" s="1"/>
  <c r="R53" i="1"/>
  <c r="P53" i="1"/>
  <c r="K53" i="1"/>
  <c r="Q53" i="1" s="1"/>
  <c r="R17" i="1"/>
  <c r="P17" i="1"/>
  <c r="K17" i="1"/>
  <c r="Q17" i="1" s="1"/>
  <c r="R110" i="1"/>
  <c r="O110" i="1"/>
  <c r="P110" i="1" s="1"/>
  <c r="F110" i="1"/>
  <c r="R81" i="1"/>
  <c r="P81" i="1"/>
  <c r="K81" i="1"/>
  <c r="Q81" i="1" s="1"/>
  <c r="R18" i="1"/>
  <c r="P18" i="1"/>
  <c r="K18" i="1"/>
  <c r="Q18" i="1" s="1"/>
  <c r="R52" i="1"/>
  <c r="P52" i="1"/>
  <c r="K52" i="1"/>
  <c r="Q52" i="1" s="1"/>
  <c r="R16" i="1"/>
  <c r="P16" i="1"/>
  <c r="K16" i="1"/>
  <c r="Q16" i="1" s="1"/>
  <c r="R15" i="1"/>
  <c r="P15" i="1"/>
  <c r="K15" i="1"/>
  <c r="Q15" i="1" s="1"/>
  <c r="R14" i="1"/>
  <c r="P14" i="1"/>
  <c r="K14" i="1"/>
  <c r="Q14" i="1" s="1"/>
  <c r="R13" i="1"/>
  <c r="P13" i="1"/>
  <c r="K13" i="1"/>
  <c r="Q13" i="1" s="1"/>
  <c r="R12" i="1"/>
  <c r="P12" i="1"/>
  <c r="K12" i="1"/>
  <c r="Q12" i="1" s="1"/>
  <c r="R11" i="1"/>
  <c r="P11" i="1"/>
  <c r="K11" i="1"/>
  <c r="Q11" i="1" s="1"/>
  <c r="R10" i="1"/>
  <c r="P10" i="1"/>
  <c r="K10" i="1"/>
  <c r="Q10" i="1" s="1"/>
  <c r="R40" i="1"/>
  <c r="P40" i="1"/>
  <c r="K40" i="1"/>
  <c r="Q40" i="1" s="1"/>
  <c r="R5" i="1"/>
  <c r="K5" i="1"/>
  <c r="I5" i="1"/>
  <c r="R7" i="1"/>
  <c r="K7" i="1"/>
  <c r="I7" i="1"/>
  <c r="R39" i="1"/>
  <c r="P39" i="1"/>
  <c r="K39" i="1"/>
  <c r="Q39" i="1" s="1"/>
  <c r="R4" i="1"/>
  <c r="K4" i="1"/>
  <c r="I4" i="1"/>
  <c r="Q4" i="1" s="1"/>
  <c r="R38" i="1"/>
  <c r="P38" i="1"/>
  <c r="K38" i="1"/>
  <c r="Q38" i="1" s="1"/>
  <c r="R3" i="1"/>
  <c r="K3" i="1"/>
  <c r="I3" i="1"/>
  <c r="R2" i="1"/>
  <c r="K2" i="1"/>
  <c r="I2" i="1"/>
  <c r="K111" i="1" l="1"/>
  <c r="Q111" i="1" s="1"/>
  <c r="P111" i="1"/>
  <c r="P144" i="1"/>
  <c r="Q144" i="1"/>
  <c r="P117" i="1"/>
  <c r="K125" i="1"/>
  <c r="Q125" i="1" s="1"/>
  <c r="P136" i="1"/>
  <c r="P107" i="1"/>
  <c r="P103" i="1"/>
  <c r="K109" i="1"/>
  <c r="Q109" i="1" s="1"/>
  <c r="P137" i="1"/>
  <c r="P141" i="1"/>
  <c r="P118" i="1"/>
  <c r="Q3" i="1"/>
  <c r="Q22" i="1"/>
  <c r="Q2" i="1"/>
  <c r="Q120" i="1"/>
  <c r="Q121" i="1"/>
  <c r="Q135" i="1"/>
  <c r="Q59" i="1"/>
  <c r="Q88" i="1"/>
  <c r="Q35" i="1"/>
  <c r="Q20" i="1"/>
  <c r="Q73" i="1"/>
  <c r="Q91" i="1"/>
  <c r="Q138" i="1"/>
  <c r="Q58" i="1"/>
  <c r="Q70" i="1"/>
  <c r="Q99" i="1"/>
  <c r="Q114" i="1"/>
  <c r="Q72" i="1"/>
  <c r="Q128" i="1"/>
  <c r="Q89" i="1"/>
  <c r="P135" i="1"/>
  <c r="Q34" i="1"/>
  <c r="Q118" i="1"/>
  <c r="Q137" i="1"/>
  <c r="P59" i="1"/>
  <c r="P91" i="1"/>
  <c r="P35" i="1"/>
  <c r="Q87" i="1"/>
  <c r="Q60" i="1"/>
  <c r="P73" i="1"/>
  <c r="P20" i="1"/>
  <c r="Q8" i="1"/>
  <c r="Q71" i="1"/>
  <c r="Q7" i="1"/>
  <c r="Q98" i="1"/>
  <c r="Q102" i="1"/>
  <c r="Q21" i="1"/>
  <c r="Q26" i="1"/>
  <c r="Q140" i="1"/>
  <c r="Q119" i="1"/>
  <c r="Q5" i="1"/>
  <c r="Q56" i="1"/>
  <c r="Q127" i="1"/>
  <c r="Q115" i="1"/>
  <c r="Q136" i="1"/>
  <c r="Q139" i="1"/>
  <c r="Q92" i="1"/>
  <c r="Q143" i="1"/>
  <c r="P88" i="1"/>
  <c r="Q23" i="1"/>
  <c r="Q61" i="1"/>
  <c r="Q100" i="1"/>
  <c r="Q116" i="1"/>
  <c r="P120" i="1"/>
  <c r="Q33" i="1"/>
  <c r="Q37" i="1"/>
  <c r="Q6" i="1"/>
  <c r="Q57" i="1"/>
  <c r="Q9" i="1"/>
  <c r="Q69" i="1"/>
  <c r="Q85" i="1"/>
  <c r="P100" i="1"/>
  <c r="Q129" i="1"/>
  <c r="Q36" i="1"/>
  <c r="Q141" i="1"/>
  <c r="Q62" i="1"/>
  <c r="Q90" i="1"/>
  <c r="Q117" i="1"/>
  <c r="Q25" i="1"/>
  <c r="Q142" i="1"/>
  <c r="Q133" i="1"/>
  <c r="P133" i="1"/>
  <c r="Q134" i="1"/>
  <c r="P134" i="1"/>
  <c r="Q130" i="1"/>
  <c r="Q63" i="1"/>
  <c r="P63" i="1"/>
  <c r="K122" i="1"/>
  <c r="Q122" i="1" s="1"/>
  <c r="Q86" i="1"/>
  <c r="Q101" i="1"/>
  <c r="K108" i="1"/>
  <c r="Q108" i="1" s="1"/>
  <c r="P70" i="1"/>
  <c r="P27" i="1"/>
  <c r="P9" i="1"/>
  <c r="P128" i="1"/>
  <c r="P21" i="1"/>
  <c r="Q24" i="1"/>
  <c r="P6" i="1"/>
  <c r="P90" i="1"/>
  <c r="P139" i="1"/>
  <c r="P5" i="1"/>
  <c r="K110" i="1"/>
  <c r="Q110" i="1" s="1"/>
  <c r="P121" i="1"/>
  <c r="K126" i="1"/>
  <c r="Q126" i="1" s="1"/>
  <c r="P4" i="1"/>
  <c r="P7" i="1"/>
  <c r="P22" i="1"/>
  <c r="P71" i="1"/>
  <c r="P138" i="1"/>
  <c r="P119" i="1"/>
  <c r="K112" i="1"/>
  <c r="Q112" i="1" s="1"/>
  <c r="P129" i="1"/>
  <c r="P2" i="1"/>
  <c r="K123" i="1"/>
  <c r="Q123" i="1" s="1"/>
  <c r="P58" i="1"/>
  <c r="P26" i="1"/>
  <c r="P8" i="1"/>
  <c r="P34" i="1"/>
  <c r="P127" i="1"/>
  <c r="P23" i="1"/>
  <c r="K113" i="1"/>
  <c r="Q113" i="1" s="1"/>
  <c r="K104" i="1"/>
  <c r="Q104" i="1" s="1"/>
  <c r="P3" i="1"/>
  <c r="P130" i="1"/>
</calcChain>
</file>

<file path=xl/sharedStrings.xml><?xml version="1.0" encoding="utf-8"?>
<sst xmlns="http://schemas.openxmlformats.org/spreadsheetml/2006/main" count="711" uniqueCount="92">
  <si>
    <t>Fecha</t>
  </si>
  <si>
    <t>Planta</t>
  </si>
  <si>
    <t>Linea</t>
  </si>
  <si>
    <t>Puesto_Trabajo</t>
  </si>
  <si>
    <t>Es_Ultimo_Puesto</t>
  </si>
  <si>
    <t>Cant._Prod._A1</t>
  </si>
  <si>
    <t>H.H._STD_UNIT.</t>
  </si>
  <si>
    <t>CANT._OPERARIOS</t>
  </si>
  <si>
    <t>HH_STD_TOTAL</t>
  </si>
  <si>
    <t>HH_Productivas</t>
  </si>
  <si>
    <t>HH_Productivas_C/GAP</t>
  </si>
  <si>
    <t>HH_Improductivas</t>
  </si>
  <si>
    <t>HH_Disponibles</t>
  </si>
  <si>
    <t>EF._Real_E1</t>
  </si>
  <si>
    <t>EF._Prod_F1</t>
  </si>
  <si>
    <t>Costo_Improd._$</t>
  </si>
  <si>
    <t>Personal</t>
  </si>
  <si>
    <t>RASTRAS</t>
  </si>
  <si>
    <t>"SECTOR  ""ARM. PAQUETES"""</t>
  </si>
  <si>
    <t>NO</t>
  </si>
  <si>
    <t>"SECTOR  ""ARMADO FINAL 1"""</t>
  </si>
  <si>
    <t>SI</t>
  </si>
  <si>
    <t>"SECTOR  ""ARMADO FINAL 2"""</t>
  </si>
  <si>
    <t>"SECTOR  ""MED. PUNT.+ SOLD"""</t>
  </si>
  <si>
    <t>"SECTOR  ""BANDEJAS"""</t>
  </si>
  <si>
    <t>ACOP.+SEMIS</t>
  </si>
  <si>
    <t>444-PUNTEADO DE PUERTAS</t>
  </si>
  <si>
    <t>445-SOLDADO DE PUERTAS 1</t>
  </si>
  <si>
    <t>446-SOLDADO DE PUERTAS 2</t>
  </si>
  <si>
    <t>447-BARRALES+RINCONERAS</t>
  </si>
  <si>
    <t>448-PARANTES ACOP.+SEMIS</t>
  </si>
  <si>
    <t>449-FRENTES ACOP.+SEMIS</t>
  </si>
  <si>
    <t>450-CARROZADO 1 -ACOP.+SEMIS-</t>
  </si>
  <si>
    <t>PINTURA</t>
  </si>
  <si>
    <t>PREPARACIÓN</t>
  </si>
  <si>
    <t>460-Preparacion Maquinas Pintura</t>
  </si>
  <si>
    <t>451-CARROZADO 2 -ACOP.+SEMIS-</t>
  </si>
  <si>
    <t>ARM. CARR. 1+2 CRV</t>
  </si>
  <si>
    <t>ARM. PLATAFORMA  CRV</t>
  </si>
  <si>
    <t>AVANTREN CRV</t>
  </si>
  <si>
    <t>BOX 1 CRV</t>
  </si>
  <si>
    <t>BOX 2 CRV</t>
  </si>
  <si>
    <t>BOX 3 CRV</t>
  </si>
  <si>
    <t>CHASIS CRV</t>
  </si>
  <si>
    <t>F/P/C/S CRV</t>
  </si>
  <si>
    <t>SECTOR SIN FINES</t>
  </si>
  <si>
    <t>CABINA PINTURA</t>
  </si>
  <si>
    <t>461-Cabina Pintura</t>
  </si>
  <si>
    <t>SECTOR TUBO DE DESCARGA 1 CRV</t>
  </si>
  <si>
    <t>SECTOR TUBO DE DESCARGA 2 CRV</t>
  </si>
  <si>
    <t>SECTOR TUBO DE DESCARGA 3 CRV</t>
  </si>
  <si>
    <t>443-PINTADO DE PUERTAS</t>
  </si>
  <si>
    <t>"SECTOR  ""GRANDES SOLD."""</t>
  </si>
  <si>
    <t>"SECTOR  ""PEQ. PUNT. + SOLD."""</t>
  </si>
  <si>
    <t>"SECTOR  ""PUNT. CHASIS + ALAS"""</t>
  </si>
  <si>
    <t>REMOLQUES</t>
  </si>
  <si>
    <t>BATEAS</t>
  </si>
  <si>
    <t>473-PUNTEADO LATERALES</t>
  </si>
  <si>
    <t>COLASO / GOMEZ</t>
  </si>
  <si>
    <t>473-SOLDADO LATERALES</t>
  </si>
  <si>
    <t>DÍAZ / NUÑEZ</t>
  </si>
  <si>
    <t>LAVADO</t>
  </si>
  <si>
    <t>Lavado P1</t>
  </si>
  <si>
    <t>LIMPIEZA</t>
  </si>
  <si>
    <t>Limpieza P1</t>
  </si>
  <si>
    <t>Limpieza P2</t>
  </si>
  <si>
    <t>Limpieza P3</t>
  </si>
  <si>
    <t>474-PUNTEADO PISO</t>
  </si>
  <si>
    <t>YLARY / LESANA</t>
  </si>
  <si>
    <t>474-SOLDADO PISO</t>
  </si>
  <si>
    <t>FARÍAS / LÓPEZ</t>
  </si>
  <si>
    <t>475-CARROZADO -PUNT./SOLD.-</t>
  </si>
  <si>
    <t>BARRIOS / CEJAS / IBAÑEZ / FERREYRA</t>
  </si>
  <si>
    <t>476-PUNT./SOLD. PECHO Y ESTAB.</t>
  </si>
  <si>
    <t>DIAZ GABRIEL</t>
  </si>
  <si>
    <t>478-PRE-ARMADO VIGAS CHASIS</t>
  </si>
  <si>
    <t>NUÑEZ GONZALO</t>
  </si>
  <si>
    <t>479-PUNT. CHASIS</t>
  </si>
  <si>
    <t>VILLALVA / PASCHETA</t>
  </si>
  <si>
    <t>479-SOLD. CHASIS + RETRACTRIL</t>
  </si>
  <si>
    <t>GONZALES / PAEZ</t>
  </si>
  <si>
    <t>479-MONTAJE CHASIS+EJES NUEM.</t>
  </si>
  <si>
    <t>480-ARMADO EJES</t>
  </si>
  <si>
    <t>LUNA / GIRINI</t>
  </si>
  <si>
    <t>480-MONTAJE CHASIS+EJES</t>
  </si>
  <si>
    <t>Limpieza P4</t>
  </si>
  <si>
    <t>SECTOR TERMINACION CRV</t>
  </si>
  <si>
    <t>ANEXO REM.1</t>
  </si>
  <si>
    <t>AREA</t>
  </si>
  <si>
    <t>TOLVAS</t>
  </si>
  <si>
    <t>1ER Q</t>
  </si>
  <si>
    <t>2DA Q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</si>
</sst>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0"/>
      <color rgb="FF000000"/>
      <name val="Arial"/>
      <scheme val="minor"/>
    </font>
    <font>
      <b/>
      <sz val="11"/>
      <color theme="1"/>
      <name val="Arial"/>
    </font>
    <font>
      <b/>
      <sz val="11"/>
      <color rgb="FF000000"/>
      <name val="Arial"/>
    </font>
    <font>
      <b/>
      <sz val="10"/>
      <color theme="1"/>
      <name val="Arial"/>
    </font>
    <font>
      <b/>
      <sz val="11"/>
      <color rgb="FFFF0000"/>
      <name val="Arial"/>
    </font>
    <font>
      <sz val="10"/>
      <color theme="1"/>
      <name val="Arial"/>
    </font>
    <font>
      <b/>
      <sz val="10"/>
      <color rgb="FF002060"/>
      <name val="Arial"/>
    </font>
    <font>
      <sz val="10"/>
      <color rgb="FF002060"/>
      <name val="Arial"/>
    </font>
    <font>
      <sz val="14"/>
      <color theme="1"/>
      <name val="Arial"/>
    </font>
    <font>
      <b/>
      <u/>
      <sz val="10"/>
      <color theme="1"/>
      <name val="Arial"/>
    </font>
    <font>
      <sz val="10"/>
      <color rgb="FF000000"/>
      <name val="Arial"/>
    </font>
    <font>
      <b/>
      <sz val="11"/>
      <color theme="2"/>
      <name val="Arial"/>
      <family val="2"/>
    </font>
    <font>
      <sz val="10"/>
      <color rgb="FFFF000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FF0000"/>
        <bgColor rgb="FFFF0000"/>
      </patternFill>
    </fill>
    <fill>
      <patternFill patternType="solid">
        <fgColor theme="1"/>
        <bgColor indexed="64"/>
      </patternFill>
    </fill>
    <fill>
      <patternFill patternType="solid">
        <fgColor theme="1"/>
        <bgColor rgb="FFFF0000"/>
      </patternFill>
    </fill>
    <fill>
      <patternFill patternType="solid">
        <fgColor rgb="FF00B050"/>
        <bgColor indexed="64"/>
      </patternFill>
    </fill>
  </fills>
  <borders count="6">
    <border>
      <left/>
      <right/>
      <top/>
      <bottom/>
      <diagonal/>
    </border>
    <border>
      <left style="thick">
        <color rgb="FF000000"/>
      </left>
      <right style="thick">
        <color rgb="FF000000"/>
      </right>
      <top style="thick">
        <color rgb="FF000000"/>
      </top>
      <bottom style="thick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3">
    <xf numFmtId="0" fontId="0" fillId="0" borderId="0" xfId="0"/>
    <xf numFmtId="17" fontId="1" fillId="0" borderId="1" xfId="0" applyNumberFormat="1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2" fontId="2" fillId="0" borderId="1" xfId="0" applyNumberFormat="1" applyFont="1" applyBorder="1" applyAlignment="1">
      <alignment horizontal="right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5" fillId="0" borderId="0" xfId="0" applyFont="1" applyAlignment="1">
      <alignment horizontal="center" wrapText="1"/>
    </xf>
    <xf numFmtId="17" fontId="5" fillId="0" borderId="2" xfId="0" applyNumberFormat="1" applyFont="1" applyBorder="1" applyAlignment="1">
      <alignment horizontal="center"/>
    </xf>
    <xf numFmtId="0" fontId="5" fillId="0" borderId="2" xfId="0" applyFont="1" applyBorder="1" applyAlignment="1">
      <alignment horizontal="center"/>
    </xf>
    <xf numFmtId="2" fontId="5" fillId="0" borderId="2" xfId="0" applyNumberFormat="1" applyFont="1" applyBorder="1" applyAlignment="1">
      <alignment horizontal="right"/>
    </xf>
    <xf numFmtId="1" fontId="5" fillId="0" borderId="2" xfId="0" applyNumberFormat="1" applyFont="1" applyBorder="1"/>
    <xf numFmtId="2" fontId="5" fillId="0" borderId="2" xfId="0" applyNumberFormat="1" applyFont="1" applyBorder="1" applyAlignment="1">
      <alignment horizontal="center"/>
    </xf>
    <xf numFmtId="3" fontId="5" fillId="0" borderId="2" xfId="0" applyNumberFormat="1" applyFont="1" applyBorder="1" applyAlignment="1">
      <alignment horizontal="right"/>
    </xf>
    <xf numFmtId="0" fontId="5" fillId="0" borderId="0" xfId="0" applyFont="1" applyAlignment="1">
      <alignment horizontal="center"/>
    </xf>
    <xf numFmtId="0" fontId="3" fillId="0" borderId="2" xfId="0" applyFont="1" applyBorder="1" applyAlignment="1">
      <alignment horizontal="center"/>
    </xf>
    <xf numFmtId="0" fontId="6" fillId="0" borderId="2" xfId="0" applyFont="1" applyBorder="1" applyAlignment="1">
      <alignment horizontal="center"/>
    </xf>
    <xf numFmtId="0" fontId="7" fillId="0" borderId="2" xfId="0" applyFont="1" applyBorder="1" applyAlignment="1">
      <alignment horizontal="center"/>
    </xf>
    <xf numFmtId="0" fontId="5" fillId="0" borderId="2" xfId="0" applyFont="1" applyBorder="1" applyAlignment="1">
      <alignment horizontal="left"/>
    </xf>
    <xf numFmtId="0" fontId="8" fillId="0" borderId="0" xfId="0" applyFont="1" applyAlignment="1">
      <alignment horizontal="center" vertical="center"/>
    </xf>
    <xf numFmtId="0" fontId="9" fillId="0" borderId="2" xfId="0" applyFont="1" applyBorder="1" applyAlignment="1">
      <alignment horizontal="center"/>
    </xf>
    <xf numFmtId="1" fontId="5" fillId="0" borderId="3" xfId="0" applyNumberFormat="1" applyFont="1" applyBorder="1"/>
    <xf numFmtId="17" fontId="5" fillId="0" borderId="0" xfId="0" applyNumberFormat="1" applyFont="1" applyAlignment="1">
      <alignment horizontal="center"/>
    </xf>
    <xf numFmtId="2" fontId="10" fillId="0" borderId="0" xfId="0" applyNumberFormat="1" applyFont="1" applyAlignment="1">
      <alignment horizontal="right"/>
    </xf>
    <xf numFmtId="0" fontId="5" fillId="0" borderId="0" xfId="0" applyFont="1"/>
    <xf numFmtId="0" fontId="11" fillId="3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vertical="center" wrapText="1"/>
    </xf>
    <xf numFmtId="0" fontId="11" fillId="5" borderId="1" xfId="0" applyFont="1" applyFill="1" applyBorder="1" applyAlignment="1">
      <alignment horizontal="center" vertical="center" wrapText="1"/>
    </xf>
    <xf numFmtId="0" fontId="5" fillId="0" borderId="3" xfId="0" applyFont="1" applyBorder="1" applyAlignment="1">
      <alignment horizontal="center"/>
    </xf>
    <xf numFmtId="0" fontId="12" fillId="0" borderId="2" xfId="0" applyFont="1" applyBorder="1" applyAlignment="1">
      <alignment horizontal="center"/>
    </xf>
    <xf numFmtId="2" fontId="12" fillId="0" borderId="2" xfId="0" applyNumberFormat="1" applyFont="1" applyBorder="1" applyAlignment="1">
      <alignment horizontal="right"/>
    </xf>
    <xf numFmtId="1" fontId="12" fillId="0" borderId="2" xfId="0" applyNumberFormat="1" applyFont="1" applyBorder="1"/>
    <xf numFmtId="0" fontId="5" fillId="0" borderId="5" xfId="0" applyFont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2" fontId="12" fillId="0" borderId="3" xfId="0" applyNumberFormat="1" applyFont="1" applyBorder="1" applyAlignment="1">
      <alignment horizontal="right"/>
    </xf>
    <xf numFmtId="1" fontId="12" fillId="0" borderId="3" xfId="0" applyNumberFormat="1" applyFont="1" applyBorder="1"/>
    <xf numFmtId="3" fontId="5" fillId="0" borderId="3" xfId="0" applyNumberFormat="1" applyFont="1" applyBorder="1" applyAlignment="1">
      <alignment horizontal="right"/>
    </xf>
    <xf numFmtId="0" fontId="5" fillId="0" borderId="4" xfId="0" applyFont="1" applyBorder="1" applyAlignment="1">
      <alignment horizontal="center"/>
    </xf>
    <xf numFmtId="2" fontId="10" fillId="0" borderId="4" xfId="0" applyNumberFormat="1" applyFont="1" applyBorder="1" applyAlignment="1">
      <alignment horizontal="right"/>
    </xf>
    <xf numFmtId="0" fontId="5" fillId="0" borderId="2" xfId="0" applyFont="1" applyFill="1" applyBorder="1" applyAlignment="1">
      <alignment horizontal="center"/>
    </xf>
    <xf numFmtId="0" fontId="5" fillId="0" borderId="4" xfId="0" applyFont="1" applyFill="1" applyBorder="1" applyAlignment="1">
      <alignment horizontal="center"/>
    </xf>
    <xf numFmtId="1" fontId="5" fillId="0" borderId="4" xfId="0" applyNumberFormat="1" applyFont="1" applyBorder="1" applyAlignme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  <pageSetUpPr fitToPage="1"/>
  </sheetPr>
  <dimension ref="A1:AD973"/>
  <sheetViews>
    <sheetView tabSelected="1" workbookViewId="0">
      <pane xSplit="4" ySplit="1" topLeftCell="I116" activePane="bottomRight" state="frozen"/>
      <selection pane="topRight" activeCell="E1" sqref="E1"/>
      <selection pane="bottomLeft" activeCell="A2" sqref="A2"/>
      <selection pane="bottomRight" activeCell="O130" sqref="O130"/>
    </sheetView>
  </sheetViews>
  <sheetFormatPr baseColWidth="10" defaultColWidth="12.6640625" defaultRowHeight="15" customHeight="1" x14ac:dyDescent="0.25"/>
  <cols>
    <col min="1" max="1" width="8.33203125" customWidth="1"/>
    <col min="2" max="2" width="15.109375" customWidth="1"/>
    <col min="3" max="3" width="14" customWidth="1"/>
    <col min="4" max="4" width="34.33203125" customWidth="1"/>
    <col min="5" max="5" width="11" customWidth="1"/>
    <col min="6" max="6" width="12.44140625" customWidth="1"/>
    <col min="7" max="7" width="12.5546875" customWidth="1"/>
    <col min="8" max="8" width="14.33203125" customWidth="1"/>
    <col min="9" max="9" width="13.109375" customWidth="1"/>
    <col min="10" max="10" width="17.5546875" customWidth="1"/>
    <col min="11" max="11" width="16.21875" customWidth="1"/>
    <col min="12" max="12" width="12.44140625" customWidth="1"/>
    <col min="13" max="14" width="9.44140625" customWidth="1"/>
    <col min="15" max="15" width="17.44140625" customWidth="1"/>
    <col min="16" max="16" width="16.109375" customWidth="1"/>
    <col min="17" max="17" width="15.6640625" customWidth="1"/>
    <col min="18" max="18" width="14.6640625" customWidth="1"/>
    <col min="19" max="19" width="37.6640625" customWidth="1"/>
  </cols>
  <sheetData>
    <row r="1" spans="1:30" ht="34.5" customHeight="1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3" t="s">
        <v>6</v>
      </c>
      <c r="H1" s="3" t="s">
        <v>7</v>
      </c>
      <c r="I1" s="2" t="s">
        <v>8</v>
      </c>
      <c r="J1" s="27" t="s">
        <v>9</v>
      </c>
      <c r="K1" s="26" t="s">
        <v>10</v>
      </c>
      <c r="L1" s="4" t="s">
        <v>11</v>
      </c>
      <c r="M1" s="25" t="s">
        <v>90</v>
      </c>
      <c r="N1" s="25" t="s">
        <v>91</v>
      </c>
      <c r="O1" s="24" t="s">
        <v>12</v>
      </c>
      <c r="P1" s="2" t="s">
        <v>13</v>
      </c>
      <c r="Q1" s="2" t="s">
        <v>14</v>
      </c>
      <c r="R1" s="5" t="s">
        <v>15</v>
      </c>
      <c r="S1" s="2" t="s">
        <v>16</v>
      </c>
      <c r="T1" s="6"/>
      <c r="U1" s="6"/>
      <c r="V1" s="6"/>
      <c r="W1" s="6"/>
      <c r="X1" s="6"/>
      <c r="Y1" s="6"/>
      <c r="Z1" s="6"/>
      <c r="AA1" s="6"/>
      <c r="AB1" s="6"/>
      <c r="AC1" s="6"/>
      <c r="AD1" s="6"/>
    </row>
    <row r="2" spans="1:30" ht="12.75" customHeight="1" x14ac:dyDescent="0.25">
      <c r="A2" s="7">
        <v>45992</v>
      </c>
      <c r="B2" s="8" t="s">
        <v>88</v>
      </c>
      <c r="C2" s="8" t="s">
        <v>17</v>
      </c>
      <c r="D2" s="8" t="s">
        <v>18</v>
      </c>
      <c r="E2" s="8" t="s">
        <v>19</v>
      </c>
      <c r="F2" s="8">
        <v>5</v>
      </c>
      <c r="G2" s="9"/>
      <c r="H2" s="9"/>
      <c r="I2" s="10">
        <f t="shared" ref="I2:I9" si="0">(G2*F2)+0.25*F2</f>
        <v>1.25</v>
      </c>
      <c r="J2" s="8">
        <v>36</v>
      </c>
      <c r="K2" s="8">
        <f t="shared" ref="K2:K33" si="1">J2+ABS(O2-(J2+L2))</f>
        <v>46</v>
      </c>
      <c r="L2" s="8">
        <v>96</v>
      </c>
      <c r="M2" s="8"/>
      <c r="N2" s="8"/>
      <c r="O2" s="8">
        <v>142</v>
      </c>
      <c r="P2" s="11">
        <f t="shared" ref="P2:P33" si="2">+I2/O2</f>
        <v>8.8028169014084511E-3</v>
      </c>
      <c r="Q2" s="11">
        <f t="shared" ref="Q2:Q33" si="3">+I2/K2</f>
        <v>2.717391304347826E-2</v>
      </c>
      <c r="R2" s="12">
        <f t="shared" ref="R2:R33" si="4">+L2*22000</f>
        <v>2112000</v>
      </c>
      <c r="S2" s="8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</row>
    <row r="3" spans="1:30" ht="12.75" customHeight="1" x14ac:dyDescent="0.25">
      <c r="A3" s="7">
        <v>45992</v>
      </c>
      <c r="B3" s="8" t="s">
        <v>88</v>
      </c>
      <c r="C3" s="8" t="s">
        <v>17</v>
      </c>
      <c r="D3" s="8" t="s">
        <v>20</v>
      </c>
      <c r="E3" s="8" t="s">
        <v>21</v>
      </c>
      <c r="F3" s="8">
        <v>8</v>
      </c>
      <c r="G3" s="9"/>
      <c r="H3" s="9"/>
      <c r="I3" s="10">
        <f t="shared" si="0"/>
        <v>2</v>
      </c>
      <c r="J3" s="8">
        <v>57</v>
      </c>
      <c r="K3" s="8">
        <f t="shared" si="1"/>
        <v>119</v>
      </c>
      <c r="L3" s="8">
        <v>25</v>
      </c>
      <c r="M3" s="8"/>
      <c r="N3" s="8"/>
      <c r="O3" s="8">
        <v>144</v>
      </c>
      <c r="P3" s="11">
        <f t="shared" si="2"/>
        <v>1.3888888888888888E-2</v>
      </c>
      <c r="Q3" s="11">
        <f t="shared" si="3"/>
        <v>1.680672268907563E-2</v>
      </c>
      <c r="R3" s="12">
        <f t="shared" si="4"/>
        <v>550000</v>
      </c>
      <c r="S3" s="8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</row>
    <row r="4" spans="1:30" ht="12.75" customHeight="1" x14ac:dyDescent="0.25">
      <c r="A4" s="7">
        <v>45992</v>
      </c>
      <c r="B4" s="8" t="s">
        <v>88</v>
      </c>
      <c r="C4" s="8" t="s">
        <v>17</v>
      </c>
      <c r="D4" s="8" t="s">
        <v>22</v>
      </c>
      <c r="E4" s="8" t="s">
        <v>21</v>
      </c>
      <c r="F4" s="8">
        <v>5</v>
      </c>
      <c r="G4" s="9"/>
      <c r="H4" s="9"/>
      <c r="I4" s="10">
        <f t="shared" si="0"/>
        <v>1.25</v>
      </c>
      <c r="J4" s="8">
        <v>235</v>
      </c>
      <c r="K4" s="8">
        <f t="shared" si="1"/>
        <v>252</v>
      </c>
      <c r="L4" s="8">
        <v>53</v>
      </c>
      <c r="M4" s="8"/>
      <c r="N4" s="8"/>
      <c r="O4" s="8">
        <v>305</v>
      </c>
      <c r="P4" s="11">
        <f t="shared" si="2"/>
        <v>4.0983606557377051E-3</v>
      </c>
      <c r="Q4" s="11">
        <f t="shared" si="3"/>
        <v>4.96031746031746E-3</v>
      </c>
      <c r="R4" s="12">
        <f t="shared" si="4"/>
        <v>1166000</v>
      </c>
      <c r="S4" s="8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</row>
    <row r="5" spans="1:30" ht="12.75" customHeight="1" x14ac:dyDescent="0.25">
      <c r="A5" s="7">
        <v>45992</v>
      </c>
      <c r="B5" s="8" t="s">
        <v>88</v>
      </c>
      <c r="C5" s="8" t="s">
        <v>17</v>
      </c>
      <c r="D5" s="8" t="s">
        <v>24</v>
      </c>
      <c r="E5" s="8" t="s">
        <v>19</v>
      </c>
      <c r="F5" s="8">
        <v>6</v>
      </c>
      <c r="G5" s="9"/>
      <c r="H5" s="9"/>
      <c r="I5" s="10">
        <f t="shared" si="0"/>
        <v>1.5</v>
      </c>
      <c r="J5" s="8">
        <v>60</v>
      </c>
      <c r="K5" s="8">
        <f t="shared" si="1"/>
        <v>93</v>
      </c>
      <c r="L5" s="8">
        <v>16</v>
      </c>
      <c r="M5" s="8"/>
      <c r="N5" s="8"/>
      <c r="O5" s="8">
        <v>109</v>
      </c>
      <c r="P5" s="11">
        <f t="shared" si="2"/>
        <v>1.3761467889908258E-2</v>
      </c>
      <c r="Q5" s="11">
        <f t="shared" si="3"/>
        <v>1.6129032258064516E-2</v>
      </c>
      <c r="R5" s="12">
        <f t="shared" si="4"/>
        <v>352000</v>
      </c>
      <c r="S5" s="8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</row>
    <row r="6" spans="1:30" ht="12.75" customHeight="1" x14ac:dyDescent="0.25">
      <c r="A6" s="7">
        <v>45992</v>
      </c>
      <c r="B6" s="8" t="s">
        <v>88</v>
      </c>
      <c r="C6" s="8" t="s">
        <v>17</v>
      </c>
      <c r="D6" s="8" t="s">
        <v>52</v>
      </c>
      <c r="E6" s="8" t="s">
        <v>19</v>
      </c>
      <c r="F6" s="8">
        <v>9</v>
      </c>
      <c r="G6" s="9"/>
      <c r="H6" s="9"/>
      <c r="I6" s="10">
        <f t="shared" si="0"/>
        <v>2.25</v>
      </c>
      <c r="J6" s="8">
        <v>80</v>
      </c>
      <c r="K6" s="8">
        <f t="shared" si="1"/>
        <v>121</v>
      </c>
      <c r="L6" s="8">
        <v>65</v>
      </c>
      <c r="M6" s="8"/>
      <c r="N6" s="8"/>
      <c r="O6" s="8">
        <v>104</v>
      </c>
      <c r="P6" s="11">
        <f t="shared" si="2"/>
        <v>2.1634615384615384E-2</v>
      </c>
      <c r="Q6" s="11">
        <f t="shared" si="3"/>
        <v>1.859504132231405E-2</v>
      </c>
      <c r="R6" s="12">
        <f t="shared" si="4"/>
        <v>1430000</v>
      </c>
      <c r="S6" s="8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</row>
    <row r="7" spans="1:30" ht="12.75" customHeight="1" x14ac:dyDescent="0.25">
      <c r="A7" s="7">
        <v>45992</v>
      </c>
      <c r="B7" s="8" t="s">
        <v>88</v>
      </c>
      <c r="C7" s="8" t="s">
        <v>17</v>
      </c>
      <c r="D7" s="8" t="s">
        <v>23</v>
      </c>
      <c r="E7" s="8" t="s">
        <v>19</v>
      </c>
      <c r="F7" s="8">
        <v>17</v>
      </c>
      <c r="G7" s="9"/>
      <c r="H7" s="9"/>
      <c r="I7" s="10">
        <f t="shared" si="0"/>
        <v>4.25</v>
      </c>
      <c r="J7" s="8">
        <v>76</v>
      </c>
      <c r="K7" s="8">
        <f t="shared" si="1"/>
        <v>89</v>
      </c>
      <c r="L7" s="8">
        <v>36</v>
      </c>
      <c r="M7" s="8"/>
      <c r="N7" s="8"/>
      <c r="O7" s="8">
        <v>99</v>
      </c>
      <c r="P7" s="11">
        <f t="shared" si="2"/>
        <v>4.2929292929292928E-2</v>
      </c>
      <c r="Q7" s="11">
        <f t="shared" si="3"/>
        <v>4.7752808988764044E-2</v>
      </c>
      <c r="R7" s="12">
        <f t="shared" si="4"/>
        <v>792000</v>
      </c>
      <c r="S7" s="8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</row>
    <row r="8" spans="1:30" ht="12.75" customHeight="1" x14ac:dyDescent="0.25">
      <c r="A8" s="7">
        <v>45992</v>
      </c>
      <c r="B8" s="8" t="s">
        <v>88</v>
      </c>
      <c r="C8" s="8" t="s">
        <v>17</v>
      </c>
      <c r="D8" s="8" t="s">
        <v>53</v>
      </c>
      <c r="E8" s="8" t="s">
        <v>19</v>
      </c>
      <c r="F8" s="8">
        <v>7</v>
      </c>
      <c r="G8" s="9"/>
      <c r="H8" s="9"/>
      <c r="I8" s="10">
        <f t="shared" si="0"/>
        <v>1.75</v>
      </c>
      <c r="J8" s="8">
        <v>83</v>
      </c>
      <c r="K8" s="8">
        <f t="shared" si="1"/>
        <v>161</v>
      </c>
      <c r="L8" s="8">
        <v>59</v>
      </c>
      <c r="M8" s="8"/>
      <c r="N8" s="8"/>
      <c r="O8" s="8">
        <v>220</v>
      </c>
      <c r="P8" s="11">
        <f t="shared" si="2"/>
        <v>7.9545454545454537E-3</v>
      </c>
      <c r="Q8" s="11">
        <f t="shared" si="3"/>
        <v>1.0869565217391304E-2</v>
      </c>
      <c r="R8" s="12">
        <f t="shared" si="4"/>
        <v>1298000</v>
      </c>
      <c r="S8" s="8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</row>
    <row r="9" spans="1:30" ht="12.75" customHeight="1" x14ac:dyDescent="0.25">
      <c r="A9" s="7">
        <v>45992</v>
      </c>
      <c r="B9" s="8" t="s">
        <v>88</v>
      </c>
      <c r="C9" s="8" t="s">
        <v>17</v>
      </c>
      <c r="D9" s="8" t="s">
        <v>54</v>
      </c>
      <c r="E9" s="8" t="s">
        <v>19</v>
      </c>
      <c r="F9" s="8">
        <v>4</v>
      </c>
      <c r="G9" s="9"/>
      <c r="H9" s="9"/>
      <c r="I9" s="10">
        <f t="shared" si="0"/>
        <v>1</v>
      </c>
      <c r="J9" s="8">
        <v>43</v>
      </c>
      <c r="K9" s="8">
        <f t="shared" si="1"/>
        <v>110</v>
      </c>
      <c r="L9" s="8">
        <v>68</v>
      </c>
      <c r="M9" s="8"/>
      <c r="N9" s="8"/>
      <c r="O9" s="8">
        <v>178</v>
      </c>
      <c r="P9" s="11">
        <f t="shared" si="2"/>
        <v>5.6179775280898875E-3</v>
      </c>
      <c r="Q9" s="11">
        <f t="shared" si="3"/>
        <v>9.0909090909090905E-3</v>
      </c>
      <c r="R9" s="12">
        <f t="shared" si="4"/>
        <v>1496000</v>
      </c>
      <c r="S9" s="8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</row>
    <row r="10" spans="1:30" ht="12.75" customHeight="1" x14ac:dyDescent="0.25">
      <c r="A10" s="7">
        <v>45992</v>
      </c>
      <c r="B10" s="8" t="s">
        <v>87</v>
      </c>
      <c r="C10" s="8" t="s">
        <v>25</v>
      </c>
      <c r="D10" s="8" t="s">
        <v>26</v>
      </c>
      <c r="E10" s="8" t="s">
        <v>19</v>
      </c>
      <c r="F10" s="8">
        <v>20</v>
      </c>
      <c r="G10" s="9"/>
      <c r="H10" s="9">
        <v>1</v>
      </c>
      <c r="I10" s="10">
        <v>128</v>
      </c>
      <c r="J10" s="8">
        <v>154</v>
      </c>
      <c r="K10" s="8">
        <f t="shared" si="1"/>
        <v>164</v>
      </c>
      <c r="L10" s="8">
        <v>13</v>
      </c>
      <c r="M10" s="8"/>
      <c r="N10" s="8"/>
      <c r="O10" s="8">
        <v>177</v>
      </c>
      <c r="P10" s="11">
        <f t="shared" si="2"/>
        <v>0.7231638418079096</v>
      </c>
      <c r="Q10" s="11">
        <f t="shared" si="3"/>
        <v>0.78048780487804881</v>
      </c>
      <c r="R10" s="12">
        <f t="shared" si="4"/>
        <v>286000</v>
      </c>
      <c r="S10" s="8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</row>
    <row r="11" spans="1:30" ht="12.75" customHeight="1" x14ac:dyDescent="0.25">
      <c r="A11" s="7">
        <v>45992</v>
      </c>
      <c r="B11" s="8" t="s">
        <v>87</v>
      </c>
      <c r="C11" s="8" t="s">
        <v>25</v>
      </c>
      <c r="D11" s="8" t="s">
        <v>27</v>
      </c>
      <c r="E11" s="8" t="s">
        <v>19</v>
      </c>
      <c r="F11" s="8">
        <v>14</v>
      </c>
      <c r="G11" s="9"/>
      <c r="H11" s="9">
        <v>1</v>
      </c>
      <c r="I11" s="10">
        <v>87.98</v>
      </c>
      <c r="J11" s="8">
        <v>111</v>
      </c>
      <c r="K11" s="8">
        <f t="shared" si="1"/>
        <v>135</v>
      </c>
      <c r="L11" s="8">
        <v>37</v>
      </c>
      <c r="M11" s="8"/>
      <c r="N11" s="8"/>
      <c r="O11" s="8">
        <v>172</v>
      </c>
      <c r="P11" s="11">
        <f t="shared" si="2"/>
        <v>0.5115116279069768</v>
      </c>
      <c r="Q11" s="11">
        <f t="shared" si="3"/>
        <v>0.65170370370370378</v>
      </c>
      <c r="R11" s="12">
        <f t="shared" si="4"/>
        <v>814000</v>
      </c>
      <c r="S11" s="8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</row>
    <row r="12" spans="1:30" ht="12.75" customHeight="1" x14ac:dyDescent="0.25">
      <c r="A12" s="7">
        <v>45992</v>
      </c>
      <c r="B12" s="8" t="s">
        <v>87</v>
      </c>
      <c r="C12" s="8" t="s">
        <v>25</v>
      </c>
      <c r="D12" s="8" t="s">
        <v>28</v>
      </c>
      <c r="E12" s="8" t="s">
        <v>19</v>
      </c>
      <c r="F12" s="8">
        <v>10</v>
      </c>
      <c r="G12" s="9"/>
      <c r="H12" s="9">
        <v>1</v>
      </c>
      <c r="I12" s="10">
        <v>65.17</v>
      </c>
      <c r="J12" s="8">
        <v>111</v>
      </c>
      <c r="K12" s="8">
        <f t="shared" si="1"/>
        <v>126</v>
      </c>
      <c r="L12" s="8">
        <v>0</v>
      </c>
      <c r="M12" s="8"/>
      <c r="N12" s="8"/>
      <c r="O12" s="8">
        <v>96</v>
      </c>
      <c r="P12" s="11">
        <f t="shared" si="2"/>
        <v>0.67885416666666665</v>
      </c>
      <c r="Q12" s="11">
        <f t="shared" si="3"/>
        <v>0.51722222222222225</v>
      </c>
      <c r="R12" s="12">
        <f t="shared" si="4"/>
        <v>0</v>
      </c>
      <c r="S12" s="8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</row>
    <row r="13" spans="1:30" ht="12.75" customHeight="1" x14ac:dyDescent="0.25">
      <c r="A13" s="7">
        <v>45992</v>
      </c>
      <c r="B13" s="8" t="s">
        <v>87</v>
      </c>
      <c r="C13" s="8" t="s">
        <v>25</v>
      </c>
      <c r="D13" s="8" t="s">
        <v>29</v>
      </c>
      <c r="E13" s="8" t="s">
        <v>19</v>
      </c>
      <c r="F13" s="8">
        <v>19</v>
      </c>
      <c r="G13" s="9"/>
      <c r="H13" s="9">
        <v>1</v>
      </c>
      <c r="I13" s="10">
        <v>61.75</v>
      </c>
      <c r="J13" s="8">
        <v>81</v>
      </c>
      <c r="K13" s="8">
        <f t="shared" si="1"/>
        <v>123</v>
      </c>
      <c r="L13" s="8">
        <v>23</v>
      </c>
      <c r="M13" s="8"/>
      <c r="N13" s="8"/>
      <c r="O13" s="8">
        <v>146</v>
      </c>
      <c r="P13" s="11">
        <f t="shared" si="2"/>
        <v>0.42294520547945208</v>
      </c>
      <c r="Q13" s="11">
        <f t="shared" si="3"/>
        <v>0.50203252032520329</v>
      </c>
      <c r="R13" s="12">
        <f t="shared" si="4"/>
        <v>506000</v>
      </c>
      <c r="S13" s="8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</row>
    <row r="14" spans="1:30" ht="12.75" customHeight="1" x14ac:dyDescent="0.25">
      <c r="A14" s="7">
        <v>45992</v>
      </c>
      <c r="B14" s="8" t="s">
        <v>87</v>
      </c>
      <c r="C14" s="8" t="s">
        <v>25</v>
      </c>
      <c r="D14" s="8" t="s">
        <v>30</v>
      </c>
      <c r="E14" s="8" t="s">
        <v>19</v>
      </c>
      <c r="F14" s="8">
        <v>15</v>
      </c>
      <c r="G14" s="9"/>
      <c r="H14" s="9">
        <v>1</v>
      </c>
      <c r="I14" s="10">
        <v>38.4</v>
      </c>
      <c r="J14" s="8">
        <v>56</v>
      </c>
      <c r="K14" s="8">
        <f t="shared" si="1"/>
        <v>73</v>
      </c>
      <c r="L14" s="8">
        <v>23</v>
      </c>
      <c r="M14" s="8"/>
      <c r="N14" s="8"/>
      <c r="O14" s="8">
        <v>96</v>
      </c>
      <c r="P14" s="11">
        <f t="shared" si="2"/>
        <v>0.39999999999999997</v>
      </c>
      <c r="Q14" s="11">
        <f t="shared" si="3"/>
        <v>0.52602739726027392</v>
      </c>
      <c r="R14" s="12">
        <f t="shared" si="4"/>
        <v>506000</v>
      </c>
      <c r="S14" s="8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</row>
    <row r="15" spans="1:30" ht="12.75" customHeight="1" x14ac:dyDescent="0.25">
      <c r="A15" s="7">
        <v>45992</v>
      </c>
      <c r="B15" s="8" t="s">
        <v>87</v>
      </c>
      <c r="C15" s="8" t="s">
        <v>25</v>
      </c>
      <c r="D15" s="8" t="s">
        <v>31</v>
      </c>
      <c r="E15" s="8" t="s">
        <v>19</v>
      </c>
      <c r="F15" s="8">
        <v>17</v>
      </c>
      <c r="G15" s="9"/>
      <c r="H15" s="9">
        <v>1</v>
      </c>
      <c r="I15" s="10">
        <v>39.6</v>
      </c>
      <c r="J15" s="8">
        <v>42</v>
      </c>
      <c r="K15" s="8">
        <f t="shared" si="1"/>
        <v>52</v>
      </c>
      <c r="L15" s="8">
        <v>106</v>
      </c>
      <c r="M15" s="8"/>
      <c r="N15" s="8"/>
      <c r="O15" s="8">
        <v>158</v>
      </c>
      <c r="P15" s="11">
        <f t="shared" si="2"/>
        <v>0.25063291139240507</v>
      </c>
      <c r="Q15" s="11">
        <f t="shared" si="3"/>
        <v>0.76153846153846161</v>
      </c>
      <c r="R15" s="12">
        <f t="shared" si="4"/>
        <v>2332000</v>
      </c>
      <c r="S15" s="8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</row>
    <row r="16" spans="1:30" ht="12.75" customHeight="1" x14ac:dyDescent="0.25">
      <c r="A16" s="7">
        <v>45992</v>
      </c>
      <c r="B16" s="8" t="s">
        <v>87</v>
      </c>
      <c r="C16" s="8" t="s">
        <v>25</v>
      </c>
      <c r="D16" s="8" t="s">
        <v>32</v>
      </c>
      <c r="E16" s="8" t="s">
        <v>21</v>
      </c>
      <c r="F16" s="8">
        <v>13</v>
      </c>
      <c r="G16" s="9"/>
      <c r="H16" s="9">
        <v>2</v>
      </c>
      <c r="I16" s="10">
        <v>237.23</v>
      </c>
      <c r="J16" s="8">
        <v>224</v>
      </c>
      <c r="K16" s="8">
        <f t="shared" si="1"/>
        <v>246</v>
      </c>
      <c r="L16" s="8">
        <v>66</v>
      </c>
      <c r="M16" s="8"/>
      <c r="N16" s="8"/>
      <c r="O16" s="8">
        <v>312</v>
      </c>
      <c r="P16" s="11">
        <f t="shared" si="2"/>
        <v>0.76035256410256402</v>
      </c>
      <c r="Q16" s="11">
        <f t="shared" si="3"/>
        <v>0.96434959349593496</v>
      </c>
      <c r="R16" s="12">
        <f t="shared" si="4"/>
        <v>1452000</v>
      </c>
      <c r="S16" s="8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</row>
    <row r="17" spans="1:30" ht="12.75" customHeight="1" x14ac:dyDescent="0.25">
      <c r="A17" s="7">
        <v>45992</v>
      </c>
      <c r="B17" s="8" t="s">
        <v>87</v>
      </c>
      <c r="C17" s="8" t="s">
        <v>25</v>
      </c>
      <c r="D17" s="8" t="s">
        <v>36</v>
      </c>
      <c r="E17" s="8" t="s">
        <v>21</v>
      </c>
      <c r="F17" s="8">
        <v>13</v>
      </c>
      <c r="G17" s="9"/>
      <c r="H17" s="9">
        <v>2</v>
      </c>
      <c r="I17" s="10">
        <v>195</v>
      </c>
      <c r="J17" s="8">
        <v>249</v>
      </c>
      <c r="K17" s="8">
        <f t="shared" si="1"/>
        <v>264</v>
      </c>
      <c r="L17" s="8">
        <v>112</v>
      </c>
      <c r="M17" s="8"/>
      <c r="N17" s="8"/>
      <c r="O17" s="8">
        <v>346</v>
      </c>
      <c r="P17" s="11">
        <f t="shared" si="2"/>
        <v>0.56358381502890176</v>
      </c>
      <c r="Q17" s="11">
        <f t="shared" si="3"/>
        <v>0.73863636363636365</v>
      </c>
      <c r="R17" s="12">
        <f t="shared" si="4"/>
        <v>2464000</v>
      </c>
      <c r="S17" s="8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</row>
    <row r="18" spans="1:30" ht="12.75" customHeight="1" x14ac:dyDescent="0.25">
      <c r="A18" s="7">
        <v>45992</v>
      </c>
      <c r="B18" s="8" t="s">
        <v>33</v>
      </c>
      <c r="C18" s="8" t="s">
        <v>34</v>
      </c>
      <c r="D18" s="8" t="s">
        <v>35</v>
      </c>
      <c r="E18" s="8" t="s">
        <v>19</v>
      </c>
      <c r="F18" s="8">
        <v>174</v>
      </c>
      <c r="G18" s="9"/>
      <c r="H18" s="9">
        <v>6</v>
      </c>
      <c r="I18" s="10">
        <v>805.3</v>
      </c>
      <c r="J18" s="8">
        <v>443</v>
      </c>
      <c r="K18" s="8">
        <f t="shared" si="1"/>
        <v>1079</v>
      </c>
      <c r="L18" s="8">
        <v>60</v>
      </c>
      <c r="M18" s="8"/>
      <c r="N18" s="8"/>
      <c r="O18" s="8">
        <v>1139</v>
      </c>
      <c r="P18" s="11">
        <f t="shared" si="2"/>
        <v>0.70702370500438982</v>
      </c>
      <c r="Q18" s="11">
        <f t="shared" si="3"/>
        <v>0.74633920296570899</v>
      </c>
      <c r="R18" s="12">
        <f t="shared" si="4"/>
        <v>1320000</v>
      </c>
      <c r="S18" s="8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</row>
    <row r="19" spans="1:30" ht="12.75" customHeight="1" x14ac:dyDescent="0.25">
      <c r="A19" s="7">
        <v>45992</v>
      </c>
      <c r="B19" s="8" t="s">
        <v>33</v>
      </c>
      <c r="C19" s="8" t="s">
        <v>46</v>
      </c>
      <c r="D19" s="8" t="s">
        <v>47</v>
      </c>
      <c r="E19" s="8" t="s">
        <v>21</v>
      </c>
      <c r="F19" s="8">
        <v>174</v>
      </c>
      <c r="G19" s="9"/>
      <c r="H19" s="9">
        <v>8</v>
      </c>
      <c r="I19" s="10">
        <v>686.8</v>
      </c>
      <c r="J19" s="8">
        <v>995</v>
      </c>
      <c r="K19" s="8">
        <f t="shared" si="1"/>
        <v>1210</v>
      </c>
      <c r="L19" s="8">
        <v>709</v>
      </c>
      <c r="M19" s="8"/>
      <c r="N19" s="8"/>
      <c r="O19" s="8">
        <v>1489</v>
      </c>
      <c r="P19" s="11">
        <f t="shared" si="2"/>
        <v>0.46124916051040965</v>
      </c>
      <c r="Q19" s="11">
        <f t="shared" si="3"/>
        <v>0.56760330578512397</v>
      </c>
      <c r="R19" s="12">
        <f t="shared" si="4"/>
        <v>15598000</v>
      </c>
      <c r="S19" s="8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</row>
    <row r="20" spans="1:30" ht="12.75" customHeight="1" x14ac:dyDescent="0.25">
      <c r="A20" s="7">
        <v>45992</v>
      </c>
      <c r="B20" s="8" t="s">
        <v>88</v>
      </c>
      <c r="C20" s="8" t="s">
        <v>89</v>
      </c>
      <c r="D20" s="8" t="s">
        <v>37</v>
      </c>
      <c r="E20" s="8" t="s">
        <v>19</v>
      </c>
      <c r="F20" s="8">
        <v>14</v>
      </c>
      <c r="G20" s="9">
        <v>9.1999999999999993</v>
      </c>
      <c r="H20" s="9">
        <v>2</v>
      </c>
      <c r="I20" s="10">
        <f t="shared" ref="I20:I27" si="5">(G20*F20)+0.25*F20</f>
        <v>132.29999999999998</v>
      </c>
      <c r="J20" s="8">
        <v>188</v>
      </c>
      <c r="K20" s="8">
        <f t="shared" si="1"/>
        <v>268</v>
      </c>
      <c r="L20" s="15">
        <v>91</v>
      </c>
      <c r="M20" s="15"/>
      <c r="N20" s="15"/>
      <c r="O20" s="8">
        <v>359</v>
      </c>
      <c r="P20" s="11">
        <f t="shared" si="2"/>
        <v>0.36852367688022281</v>
      </c>
      <c r="Q20" s="11">
        <f t="shared" si="3"/>
        <v>0.49365671641791037</v>
      </c>
      <c r="R20" s="12">
        <f t="shared" si="4"/>
        <v>2002000</v>
      </c>
      <c r="S20" s="8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</row>
    <row r="21" spans="1:30" ht="12.75" customHeight="1" x14ac:dyDescent="0.25">
      <c r="A21" s="7">
        <v>45992</v>
      </c>
      <c r="B21" s="8" t="s">
        <v>88</v>
      </c>
      <c r="C21" s="8" t="s">
        <v>89</v>
      </c>
      <c r="D21" s="8" t="s">
        <v>38</v>
      </c>
      <c r="E21" s="8" t="s">
        <v>19</v>
      </c>
      <c r="F21" s="8">
        <v>16</v>
      </c>
      <c r="G21" s="9">
        <v>7.61</v>
      </c>
      <c r="H21" s="9">
        <v>2</v>
      </c>
      <c r="I21" s="10">
        <f t="shared" si="5"/>
        <v>125.76</v>
      </c>
      <c r="J21" s="8">
        <v>117</v>
      </c>
      <c r="K21" s="8">
        <f t="shared" si="1"/>
        <v>251</v>
      </c>
      <c r="L21" s="8">
        <v>45</v>
      </c>
      <c r="M21" s="8"/>
      <c r="N21" s="8"/>
      <c r="O21" s="8">
        <v>296</v>
      </c>
      <c r="P21" s="11">
        <f t="shared" si="2"/>
        <v>0.42486486486486486</v>
      </c>
      <c r="Q21" s="11">
        <f t="shared" si="3"/>
        <v>0.5010358565737052</v>
      </c>
      <c r="R21" s="12">
        <f t="shared" si="4"/>
        <v>990000</v>
      </c>
      <c r="S21" s="8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</row>
    <row r="22" spans="1:30" ht="12.75" customHeight="1" x14ac:dyDescent="0.25">
      <c r="A22" s="7">
        <v>45992</v>
      </c>
      <c r="B22" s="8" t="s">
        <v>88</v>
      </c>
      <c r="C22" s="8" t="s">
        <v>89</v>
      </c>
      <c r="D22" s="8" t="s">
        <v>39</v>
      </c>
      <c r="E22" s="8" t="s">
        <v>19</v>
      </c>
      <c r="F22" s="8">
        <v>15</v>
      </c>
      <c r="G22" s="9">
        <v>12.98</v>
      </c>
      <c r="H22" s="9">
        <v>3</v>
      </c>
      <c r="I22" s="10">
        <f t="shared" si="5"/>
        <v>198.45000000000002</v>
      </c>
      <c r="J22" s="8">
        <v>311</v>
      </c>
      <c r="K22" s="8">
        <f t="shared" si="1"/>
        <v>422</v>
      </c>
      <c r="L22" s="8">
        <v>102</v>
      </c>
      <c r="M22" s="8"/>
      <c r="N22" s="8"/>
      <c r="O22" s="8">
        <v>524</v>
      </c>
      <c r="P22" s="11">
        <f t="shared" si="2"/>
        <v>0.37872137404580158</v>
      </c>
      <c r="Q22" s="11">
        <f t="shared" si="3"/>
        <v>0.47026066350710904</v>
      </c>
      <c r="R22" s="12">
        <f t="shared" si="4"/>
        <v>2244000</v>
      </c>
      <c r="S22" s="8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</row>
    <row r="23" spans="1:30" ht="12.75" customHeight="1" x14ac:dyDescent="0.25">
      <c r="A23" s="7">
        <v>45992</v>
      </c>
      <c r="B23" s="8" t="s">
        <v>88</v>
      </c>
      <c r="C23" s="8" t="s">
        <v>89</v>
      </c>
      <c r="D23" s="8" t="s">
        <v>40</v>
      </c>
      <c r="E23" s="8" t="s">
        <v>19</v>
      </c>
      <c r="F23" s="8">
        <v>13</v>
      </c>
      <c r="G23" s="9">
        <v>4.6900000000000004</v>
      </c>
      <c r="H23" s="9">
        <v>1</v>
      </c>
      <c r="I23" s="10">
        <f t="shared" si="5"/>
        <v>64.22</v>
      </c>
      <c r="J23" s="8">
        <v>107</v>
      </c>
      <c r="K23" s="8">
        <f t="shared" si="1"/>
        <v>157</v>
      </c>
      <c r="L23" s="8">
        <v>2</v>
      </c>
      <c r="M23" s="8"/>
      <c r="N23" s="8"/>
      <c r="O23" s="8">
        <v>159</v>
      </c>
      <c r="P23" s="11">
        <f t="shared" si="2"/>
        <v>0.40389937106918239</v>
      </c>
      <c r="Q23" s="11">
        <f t="shared" si="3"/>
        <v>0.40904458598726112</v>
      </c>
      <c r="R23" s="12">
        <f t="shared" si="4"/>
        <v>44000</v>
      </c>
      <c r="S23" s="8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</row>
    <row r="24" spans="1:30" ht="12.75" customHeight="1" x14ac:dyDescent="0.25">
      <c r="A24" s="7">
        <v>45992</v>
      </c>
      <c r="B24" s="8" t="s">
        <v>88</v>
      </c>
      <c r="C24" s="8" t="s">
        <v>89</v>
      </c>
      <c r="D24" s="8" t="s">
        <v>41</v>
      </c>
      <c r="E24" s="8" t="s">
        <v>19</v>
      </c>
      <c r="F24" s="8">
        <v>11</v>
      </c>
      <c r="G24" s="9">
        <v>4.6100000000000003</v>
      </c>
      <c r="H24" s="9">
        <v>1</v>
      </c>
      <c r="I24" s="10">
        <f t="shared" si="5"/>
        <v>53.46</v>
      </c>
      <c r="J24" s="8">
        <v>90</v>
      </c>
      <c r="K24" s="8">
        <f t="shared" si="1"/>
        <v>211</v>
      </c>
      <c r="L24" s="16">
        <v>23</v>
      </c>
      <c r="M24" s="16"/>
      <c r="N24" s="16"/>
      <c r="O24" s="8">
        <v>234</v>
      </c>
      <c r="P24" s="11">
        <f t="shared" si="2"/>
        <v>0.22846153846153847</v>
      </c>
      <c r="Q24" s="11">
        <f t="shared" si="3"/>
        <v>0.2533649289099526</v>
      </c>
      <c r="R24" s="12">
        <f t="shared" si="4"/>
        <v>506000</v>
      </c>
      <c r="S24" s="8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</row>
    <row r="25" spans="1:30" ht="12.75" customHeight="1" x14ac:dyDescent="0.25">
      <c r="A25" s="7">
        <v>45992</v>
      </c>
      <c r="B25" s="8" t="s">
        <v>88</v>
      </c>
      <c r="C25" s="8" t="s">
        <v>89</v>
      </c>
      <c r="D25" s="8" t="s">
        <v>42</v>
      </c>
      <c r="E25" s="8" t="s">
        <v>19</v>
      </c>
      <c r="F25" s="8">
        <v>5</v>
      </c>
      <c r="G25" s="9">
        <v>4.5</v>
      </c>
      <c r="H25" s="9">
        <v>1</v>
      </c>
      <c r="I25" s="10">
        <f t="shared" si="5"/>
        <v>23.75</v>
      </c>
      <c r="J25" s="8">
        <v>57</v>
      </c>
      <c r="K25" s="8">
        <f t="shared" si="1"/>
        <v>140</v>
      </c>
      <c r="L25" s="16">
        <v>86</v>
      </c>
      <c r="M25" s="16"/>
      <c r="N25" s="16"/>
      <c r="O25" s="8">
        <v>226</v>
      </c>
      <c r="P25" s="11">
        <f t="shared" si="2"/>
        <v>0.10508849557522124</v>
      </c>
      <c r="Q25" s="11">
        <f t="shared" si="3"/>
        <v>0.16964285714285715</v>
      </c>
      <c r="R25" s="12">
        <f t="shared" si="4"/>
        <v>1892000</v>
      </c>
      <c r="S25" s="8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</row>
    <row r="26" spans="1:30" ht="12.75" customHeight="1" x14ac:dyDescent="0.25">
      <c r="A26" s="7">
        <v>45992</v>
      </c>
      <c r="B26" s="8" t="s">
        <v>88</v>
      </c>
      <c r="C26" s="8" t="s">
        <v>89</v>
      </c>
      <c r="D26" s="8" t="s">
        <v>43</v>
      </c>
      <c r="E26" s="8" t="s">
        <v>19</v>
      </c>
      <c r="F26" s="8">
        <v>11</v>
      </c>
      <c r="G26" s="9">
        <v>9.1999999999999993</v>
      </c>
      <c r="H26" s="9">
        <v>2</v>
      </c>
      <c r="I26" s="10">
        <f t="shared" si="5"/>
        <v>103.94999999999999</v>
      </c>
      <c r="J26" s="8">
        <v>193</v>
      </c>
      <c r="K26" s="8">
        <f t="shared" si="1"/>
        <v>236</v>
      </c>
      <c r="L26" s="16">
        <v>124</v>
      </c>
      <c r="M26" s="16"/>
      <c r="N26" s="16"/>
      <c r="O26" s="8">
        <v>360</v>
      </c>
      <c r="P26" s="11">
        <f t="shared" si="2"/>
        <v>0.28874999999999995</v>
      </c>
      <c r="Q26" s="11">
        <f t="shared" si="3"/>
        <v>0.44046610169491518</v>
      </c>
      <c r="R26" s="12">
        <f t="shared" si="4"/>
        <v>2728000</v>
      </c>
      <c r="S26" s="8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</row>
    <row r="27" spans="1:30" ht="12.75" customHeight="1" x14ac:dyDescent="0.25">
      <c r="A27" s="7">
        <v>45992</v>
      </c>
      <c r="B27" s="8" t="s">
        <v>88</v>
      </c>
      <c r="C27" s="8" t="s">
        <v>89</v>
      </c>
      <c r="D27" s="8" t="s">
        <v>44</v>
      </c>
      <c r="E27" s="8" t="s">
        <v>19</v>
      </c>
      <c r="F27" s="8">
        <v>15</v>
      </c>
      <c r="G27" s="9">
        <f>20736/3600</f>
        <v>5.76</v>
      </c>
      <c r="H27" s="9">
        <v>1</v>
      </c>
      <c r="I27" s="10">
        <f t="shared" si="5"/>
        <v>90.149999999999991</v>
      </c>
      <c r="J27" s="8">
        <v>115</v>
      </c>
      <c r="K27" s="8">
        <f t="shared" si="1"/>
        <v>127</v>
      </c>
      <c r="L27" s="16">
        <v>41</v>
      </c>
      <c r="M27" s="16"/>
      <c r="N27" s="16"/>
      <c r="O27" s="8">
        <v>168</v>
      </c>
      <c r="P27" s="11">
        <f t="shared" si="2"/>
        <v>0.53660714285714284</v>
      </c>
      <c r="Q27" s="11">
        <f t="shared" si="3"/>
        <v>0.70984251968503931</v>
      </c>
      <c r="R27" s="12">
        <f t="shared" si="4"/>
        <v>902000</v>
      </c>
      <c r="S27" s="8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</row>
    <row r="28" spans="1:30" ht="12.75" customHeight="1" x14ac:dyDescent="0.25">
      <c r="A28" s="7">
        <v>45992</v>
      </c>
      <c r="B28" s="8" t="s">
        <v>33</v>
      </c>
      <c r="C28" s="8" t="s">
        <v>61</v>
      </c>
      <c r="D28" s="8" t="s">
        <v>62</v>
      </c>
      <c r="E28" s="8" t="s">
        <v>19</v>
      </c>
      <c r="F28" s="8">
        <v>167</v>
      </c>
      <c r="G28" s="9"/>
      <c r="H28" s="9">
        <v>3</v>
      </c>
      <c r="I28" s="10">
        <v>476.95</v>
      </c>
      <c r="J28" s="8">
        <v>510</v>
      </c>
      <c r="K28" s="8">
        <f t="shared" si="1"/>
        <v>514</v>
      </c>
      <c r="L28" s="8">
        <v>63</v>
      </c>
      <c r="M28" s="8"/>
      <c r="N28" s="8"/>
      <c r="O28" s="8">
        <v>569</v>
      </c>
      <c r="P28" s="11">
        <f t="shared" si="2"/>
        <v>0.83822495606326886</v>
      </c>
      <c r="Q28" s="11">
        <f t="shared" si="3"/>
        <v>0.92791828793774311</v>
      </c>
      <c r="R28" s="12">
        <f t="shared" si="4"/>
        <v>1386000</v>
      </c>
      <c r="S28" s="8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</row>
    <row r="29" spans="1:30" ht="12.75" customHeight="1" x14ac:dyDescent="0.25">
      <c r="A29" s="7">
        <v>45992</v>
      </c>
      <c r="B29" s="8" t="s">
        <v>33</v>
      </c>
      <c r="C29" s="8" t="s">
        <v>63</v>
      </c>
      <c r="D29" s="8" t="s">
        <v>64</v>
      </c>
      <c r="E29" s="14" t="s">
        <v>19</v>
      </c>
      <c r="F29" s="8">
        <v>37</v>
      </c>
      <c r="G29" s="9"/>
      <c r="H29" s="9">
        <v>4</v>
      </c>
      <c r="I29" s="10">
        <v>339.4</v>
      </c>
      <c r="J29" s="8">
        <v>424</v>
      </c>
      <c r="K29" s="8">
        <f t="shared" si="1"/>
        <v>500</v>
      </c>
      <c r="L29" s="8">
        <v>82</v>
      </c>
      <c r="M29" s="8"/>
      <c r="N29" s="8"/>
      <c r="O29" s="8">
        <v>582</v>
      </c>
      <c r="P29" s="11">
        <f t="shared" si="2"/>
        <v>0.58316151202749134</v>
      </c>
      <c r="Q29" s="11">
        <f t="shared" si="3"/>
        <v>0.67879999999999996</v>
      </c>
      <c r="R29" s="12">
        <f t="shared" si="4"/>
        <v>1804000</v>
      </c>
      <c r="S29" s="8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</row>
    <row r="30" spans="1:30" ht="12.75" customHeight="1" x14ac:dyDescent="0.25">
      <c r="A30" s="7">
        <v>45992</v>
      </c>
      <c r="B30" s="8" t="s">
        <v>33</v>
      </c>
      <c r="C30" s="8" t="s">
        <v>63</v>
      </c>
      <c r="D30" s="8" t="s">
        <v>65</v>
      </c>
      <c r="E30" s="14" t="s">
        <v>19</v>
      </c>
      <c r="F30" s="8">
        <v>53</v>
      </c>
      <c r="G30" s="9"/>
      <c r="H30" s="9">
        <v>4</v>
      </c>
      <c r="I30" s="10">
        <v>575.6</v>
      </c>
      <c r="J30" s="8">
        <v>447</v>
      </c>
      <c r="K30" s="8">
        <f t="shared" si="1"/>
        <v>524</v>
      </c>
      <c r="L30" s="8">
        <v>95</v>
      </c>
      <c r="M30" s="8"/>
      <c r="N30" s="8"/>
      <c r="O30" s="8">
        <v>619</v>
      </c>
      <c r="P30" s="11">
        <f t="shared" si="2"/>
        <v>0.92988691437802906</v>
      </c>
      <c r="Q30" s="11">
        <f t="shared" si="3"/>
        <v>1.0984732824427481</v>
      </c>
      <c r="R30" s="12">
        <f t="shared" si="4"/>
        <v>2090000</v>
      </c>
      <c r="S30" s="8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</row>
    <row r="31" spans="1:30" ht="12.75" customHeight="1" x14ac:dyDescent="0.25">
      <c r="A31" s="7">
        <v>45992</v>
      </c>
      <c r="B31" s="8" t="s">
        <v>33</v>
      </c>
      <c r="C31" s="8" t="s">
        <v>63</v>
      </c>
      <c r="D31" s="8" t="s">
        <v>66</v>
      </c>
      <c r="E31" s="14" t="s">
        <v>19</v>
      </c>
      <c r="F31" s="8">
        <v>59</v>
      </c>
      <c r="G31" s="9"/>
      <c r="H31" s="9">
        <v>4</v>
      </c>
      <c r="I31" s="10">
        <v>518.79999999999995</v>
      </c>
      <c r="J31" s="8">
        <v>318</v>
      </c>
      <c r="K31" s="8">
        <f t="shared" si="1"/>
        <v>517</v>
      </c>
      <c r="L31" s="8">
        <v>87</v>
      </c>
      <c r="M31" s="8"/>
      <c r="N31" s="8"/>
      <c r="O31" s="8">
        <v>604</v>
      </c>
      <c r="P31" s="11">
        <f t="shared" si="2"/>
        <v>0.85894039735099326</v>
      </c>
      <c r="Q31" s="11">
        <f t="shared" si="3"/>
        <v>1.0034816247582203</v>
      </c>
      <c r="R31" s="12">
        <f t="shared" si="4"/>
        <v>1914000</v>
      </c>
      <c r="S31" s="8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</row>
    <row r="32" spans="1:30" ht="12.75" customHeight="1" x14ac:dyDescent="0.25">
      <c r="A32" s="7">
        <v>45992</v>
      </c>
      <c r="B32" s="8" t="s">
        <v>33</v>
      </c>
      <c r="C32" s="8" t="s">
        <v>63</v>
      </c>
      <c r="D32" s="8" t="s">
        <v>85</v>
      </c>
      <c r="E32" s="14" t="s">
        <v>19</v>
      </c>
      <c r="F32" s="8">
        <v>16</v>
      </c>
      <c r="G32" s="9"/>
      <c r="H32" s="9">
        <v>2</v>
      </c>
      <c r="I32" s="10">
        <v>88.2</v>
      </c>
      <c r="J32" s="8">
        <v>68</v>
      </c>
      <c r="K32" s="8">
        <f t="shared" si="1"/>
        <v>241</v>
      </c>
      <c r="L32" s="8">
        <v>55</v>
      </c>
      <c r="M32" s="8"/>
      <c r="N32" s="8"/>
      <c r="O32" s="8">
        <v>296</v>
      </c>
      <c r="P32" s="11">
        <f t="shared" si="2"/>
        <v>0.29797297297297298</v>
      </c>
      <c r="Q32" s="11">
        <f t="shared" si="3"/>
        <v>0.36597510373443987</v>
      </c>
      <c r="R32" s="12">
        <f t="shared" si="4"/>
        <v>1210000</v>
      </c>
      <c r="S32" s="8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</row>
    <row r="33" spans="1:30" ht="12.75" customHeight="1" x14ac:dyDescent="0.25">
      <c r="A33" s="7">
        <v>45992</v>
      </c>
      <c r="B33" s="8" t="s">
        <v>88</v>
      </c>
      <c r="C33" s="8" t="s">
        <v>89</v>
      </c>
      <c r="D33" s="8" t="s">
        <v>45</v>
      </c>
      <c r="E33" s="8" t="s">
        <v>19</v>
      </c>
      <c r="F33" s="8">
        <v>22</v>
      </c>
      <c r="G33" s="9">
        <v>10.039999999999999</v>
      </c>
      <c r="H33" s="9">
        <v>2</v>
      </c>
      <c r="I33" s="10">
        <f>(G33*F33)+0.25*F33</f>
        <v>226.38</v>
      </c>
      <c r="J33" s="8">
        <v>154</v>
      </c>
      <c r="K33" s="8">
        <f t="shared" si="1"/>
        <v>361</v>
      </c>
      <c r="L33" s="16">
        <v>34</v>
      </c>
      <c r="M33" s="16"/>
      <c r="N33" s="16"/>
      <c r="O33" s="8">
        <v>395</v>
      </c>
      <c r="P33" s="11">
        <f t="shared" si="2"/>
        <v>0.57311392405063288</v>
      </c>
      <c r="Q33" s="11">
        <f t="shared" si="3"/>
        <v>0.62709141274238223</v>
      </c>
      <c r="R33" s="12">
        <f t="shared" si="4"/>
        <v>748000</v>
      </c>
      <c r="S33" s="8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</row>
    <row r="34" spans="1:30" ht="12.75" customHeight="1" x14ac:dyDescent="0.25">
      <c r="A34" s="7">
        <v>45992</v>
      </c>
      <c r="B34" s="8" t="s">
        <v>88</v>
      </c>
      <c r="C34" s="8" t="s">
        <v>89</v>
      </c>
      <c r="D34" s="8" t="s">
        <v>86</v>
      </c>
      <c r="E34" s="8" t="s">
        <v>21</v>
      </c>
      <c r="F34" s="8">
        <v>16</v>
      </c>
      <c r="G34" s="9">
        <v>8.98</v>
      </c>
      <c r="H34" s="9">
        <v>2</v>
      </c>
      <c r="I34" s="10">
        <f>(G34*F34)+0.25*F34</f>
        <v>147.68</v>
      </c>
      <c r="J34" s="8">
        <v>224</v>
      </c>
      <c r="K34" s="8">
        <f t="shared" ref="K34:K65" si="6">J34+ABS(O34-(J34+L34))</f>
        <v>244</v>
      </c>
      <c r="L34" s="16">
        <v>94</v>
      </c>
      <c r="M34" s="16"/>
      <c r="N34" s="16"/>
      <c r="O34" s="8">
        <v>338</v>
      </c>
      <c r="P34" s="11">
        <f t="shared" ref="P34:P65" si="7">+I34/O34</f>
        <v>0.43692307692307697</v>
      </c>
      <c r="Q34" s="11">
        <f t="shared" ref="Q34:Q65" si="8">+I34/K34</f>
        <v>0.60524590163934433</v>
      </c>
      <c r="R34" s="12">
        <f t="shared" ref="R34:R65" si="9">+L34*22000</f>
        <v>2068000</v>
      </c>
      <c r="S34" s="8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</row>
    <row r="35" spans="1:30" ht="12.75" customHeight="1" x14ac:dyDescent="0.25">
      <c r="A35" s="7">
        <v>45992</v>
      </c>
      <c r="B35" s="8" t="s">
        <v>88</v>
      </c>
      <c r="C35" s="8" t="s">
        <v>89</v>
      </c>
      <c r="D35" s="8" t="s">
        <v>48</v>
      </c>
      <c r="E35" s="8" t="s">
        <v>19</v>
      </c>
      <c r="F35" s="8">
        <v>17</v>
      </c>
      <c r="G35" s="9">
        <v>4.33</v>
      </c>
      <c r="H35" s="9">
        <v>1</v>
      </c>
      <c r="I35" s="10">
        <f>(G35*F35)+0.25*F35</f>
        <v>77.86</v>
      </c>
      <c r="J35" s="8">
        <v>73</v>
      </c>
      <c r="K35" s="8">
        <f t="shared" si="6"/>
        <v>126</v>
      </c>
      <c r="L35" s="8">
        <v>37</v>
      </c>
      <c r="M35" s="8"/>
      <c r="N35" s="8"/>
      <c r="O35" s="8">
        <v>163</v>
      </c>
      <c r="P35" s="11">
        <f t="shared" si="7"/>
        <v>0.4776687116564417</v>
      </c>
      <c r="Q35" s="11">
        <f t="shared" si="8"/>
        <v>0.61793650793650789</v>
      </c>
      <c r="R35" s="12">
        <f t="shared" si="9"/>
        <v>814000</v>
      </c>
      <c r="S35" s="8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</row>
    <row r="36" spans="1:30" ht="12.75" customHeight="1" x14ac:dyDescent="0.25">
      <c r="A36" s="7">
        <v>45992</v>
      </c>
      <c r="B36" s="8" t="s">
        <v>88</v>
      </c>
      <c r="C36" s="8" t="s">
        <v>89</v>
      </c>
      <c r="D36" s="8" t="s">
        <v>49</v>
      </c>
      <c r="E36" s="8" t="s">
        <v>19</v>
      </c>
      <c r="F36" s="8">
        <v>16</v>
      </c>
      <c r="G36" s="9">
        <v>4.5999999999999996</v>
      </c>
      <c r="H36" s="9">
        <v>1</v>
      </c>
      <c r="I36" s="10">
        <f>(G36*F36)+0.25*F36</f>
        <v>77.599999999999994</v>
      </c>
      <c r="J36" s="8">
        <v>63</v>
      </c>
      <c r="K36" s="8">
        <f t="shared" si="6"/>
        <v>98</v>
      </c>
      <c r="L36" s="8">
        <v>40</v>
      </c>
      <c r="M36" s="8"/>
      <c r="N36" s="8"/>
      <c r="O36" s="8">
        <v>138</v>
      </c>
      <c r="P36" s="11">
        <f t="shared" si="7"/>
        <v>0.56231884057971016</v>
      </c>
      <c r="Q36" s="11">
        <f t="shared" si="8"/>
        <v>0.7918367346938775</v>
      </c>
      <c r="R36" s="12">
        <f t="shared" si="9"/>
        <v>880000</v>
      </c>
      <c r="S36" s="8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</row>
    <row r="37" spans="1:30" ht="12.75" customHeight="1" x14ac:dyDescent="0.25">
      <c r="A37" s="7">
        <v>45992</v>
      </c>
      <c r="B37" s="8" t="s">
        <v>88</v>
      </c>
      <c r="C37" s="8" t="s">
        <v>89</v>
      </c>
      <c r="D37" s="8" t="s">
        <v>50</v>
      </c>
      <c r="E37" s="8" t="s">
        <v>19</v>
      </c>
      <c r="F37" s="8">
        <v>17</v>
      </c>
      <c r="G37" s="9">
        <v>4.66</v>
      </c>
      <c r="H37" s="9">
        <v>1</v>
      </c>
      <c r="I37" s="10">
        <f>(G37*F37)+0.25*F37</f>
        <v>83.47</v>
      </c>
      <c r="J37" s="8">
        <v>103</v>
      </c>
      <c r="K37" s="8">
        <f t="shared" si="6"/>
        <v>141</v>
      </c>
      <c r="L37" s="8">
        <v>14</v>
      </c>
      <c r="M37" s="8"/>
      <c r="N37" s="8"/>
      <c r="O37" s="8">
        <v>155</v>
      </c>
      <c r="P37" s="11">
        <f t="shared" si="7"/>
        <v>0.5385161290322581</v>
      </c>
      <c r="Q37" s="11">
        <f t="shared" si="8"/>
        <v>0.59198581560283692</v>
      </c>
      <c r="R37" s="12">
        <f t="shared" si="9"/>
        <v>308000</v>
      </c>
      <c r="S37" s="8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</row>
    <row r="38" spans="1:30" ht="12.75" customHeight="1" x14ac:dyDescent="0.25">
      <c r="A38" s="7">
        <v>46023</v>
      </c>
      <c r="B38" s="8" t="s">
        <v>88</v>
      </c>
      <c r="C38" s="8" t="s">
        <v>17</v>
      </c>
      <c r="D38" s="8" t="s">
        <v>20</v>
      </c>
      <c r="E38" s="8" t="s">
        <v>21</v>
      </c>
      <c r="F38" s="8">
        <v>3</v>
      </c>
      <c r="G38" s="9"/>
      <c r="H38" s="9"/>
      <c r="I38" s="10">
        <v>48</v>
      </c>
      <c r="J38" s="8">
        <v>34</v>
      </c>
      <c r="K38" s="8">
        <f t="shared" si="6"/>
        <v>113</v>
      </c>
      <c r="L38" s="8">
        <v>3</v>
      </c>
      <c r="M38" s="8"/>
      <c r="N38" s="8"/>
      <c r="O38" s="8">
        <v>116</v>
      </c>
      <c r="P38" s="11">
        <f t="shared" si="7"/>
        <v>0.41379310344827586</v>
      </c>
      <c r="Q38" s="11">
        <f t="shared" si="8"/>
        <v>0.4247787610619469</v>
      </c>
      <c r="R38" s="12">
        <f t="shared" si="9"/>
        <v>66000</v>
      </c>
      <c r="S38" s="8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</row>
    <row r="39" spans="1:30" ht="12.75" customHeight="1" x14ac:dyDescent="0.25">
      <c r="A39" s="7">
        <v>46023</v>
      </c>
      <c r="B39" s="8" t="s">
        <v>88</v>
      </c>
      <c r="C39" s="8" t="s">
        <v>17</v>
      </c>
      <c r="D39" s="8" t="s">
        <v>22</v>
      </c>
      <c r="E39" s="8" t="s">
        <v>21</v>
      </c>
      <c r="F39" s="8">
        <v>1</v>
      </c>
      <c r="G39" s="9"/>
      <c r="H39" s="9"/>
      <c r="I39" s="10">
        <v>0</v>
      </c>
      <c r="J39" s="8">
        <v>10</v>
      </c>
      <c r="K39" s="8">
        <f t="shared" si="6"/>
        <v>79</v>
      </c>
      <c r="L39" s="8">
        <v>74</v>
      </c>
      <c r="M39" s="8"/>
      <c r="N39" s="8"/>
      <c r="O39" s="8">
        <v>153</v>
      </c>
      <c r="P39" s="11">
        <f t="shared" si="7"/>
        <v>0</v>
      </c>
      <c r="Q39" s="11">
        <f t="shared" si="8"/>
        <v>0</v>
      </c>
      <c r="R39" s="12">
        <f t="shared" si="9"/>
        <v>1628000</v>
      </c>
      <c r="S39" s="8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</row>
    <row r="40" spans="1:30" ht="12.75" customHeight="1" x14ac:dyDescent="0.25">
      <c r="A40" s="7">
        <v>46023</v>
      </c>
      <c r="B40" s="8" t="s">
        <v>88</v>
      </c>
      <c r="C40" s="8" t="s">
        <v>17</v>
      </c>
      <c r="D40" s="8" t="s">
        <v>24</v>
      </c>
      <c r="E40" s="8" t="s">
        <v>19</v>
      </c>
      <c r="F40" s="8">
        <v>5</v>
      </c>
      <c r="G40" s="9"/>
      <c r="H40" s="9"/>
      <c r="I40" s="10">
        <v>26</v>
      </c>
      <c r="J40" s="8">
        <v>45</v>
      </c>
      <c r="K40" s="8">
        <f t="shared" si="6"/>
        <v>78</v>
      </c>
      <c r="L40" s="8">
        <v>10</v>
      </c>
      <c r="M40" s="8"/>
      <c r="N40" s="8"/>
      <c r="O40" s="8">
        <v>88</v>
      </c>
      <c r="P40" s="11">
        <f t="shared" si="7"/>
        <v>0.29545454545454547</v>
      </c>
      <c r="Q40" s="11">
        <f t="shared" si="8"/>
        <v>0.33333333333333331</v>
      </c>
      <c r="R40" s="12">
        <f t="shared" si="9"/>
        <v>220000</v>
      </c>
      <c r="S40" s="8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</row>
    <row r="41" spans="1:30" ht="12.75" customHeight="1" x14ac:dyDescent="0.25">
      <c r="A41" s="7">
        <v>46023</v>
      </c>
      <c r="B41" s="8" t="s">
        <v>88</v>
      </c>
      <c r="C41" s="8" t="s">
        <v>17</v>
      </c>
      <c r="D41" s="8" t="s">
        <v>52</v>
      </c>
      <c r="E41" s="8" t="s">
        <v>19</v>
      </c>
      <c r="F41" s="8">
        <v>6</v>
      </c>
      <c r="G41" s="9"/>
      <c r="H41" s="9"/>
      <c r="I41" s="10">
        <v>80</v>
      </c>
      <c r="J41" s="8">
        <v>79</v>
      </c>
      <c r="K41" s="8">
        <f t="shared" si="6"/>
        <v>118</v>
      </c>
      <c r="L41" s="8">
        <v>36</v>
      </c>
      <c r="M41" s="8"/>
      <c r="N41" s="8"/>
      <c r="O41" s="8">
        <v>154</v>
      </c>
      <c r="P41" s="11">
        <f t="shared" si="7"/>
        <v>0.51948051948051943</v>
      </c>
      <c r="Q41" s="11">
        <f t="shared" si="8"/>
        <v>0.67796610169491522</v>
      </c>
      <c r="R41" s="12">
        <f t="shared" si="9"/>
        <v>792000</v>
      </c>
      <c r="S41" s="8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</row>
    <row r="42" spans="1:30" ht="12.75" customHeight="1" x14ac:dyDescent="0.25">
      <c r="A42" s="7">
        <v>46023</v>
      </c>
      <c r="B42" s="8" t="s">
        <v>88</v>
      </c>
      <c r="C42" s="8" t="s">
        <v>17</v>
      </c>
      <c r="D42" s="8" t="s">
        <v>23</v>
      </c>
      <c r="E42" s="8" t="s">
        <v>19</v>
      </c>
      <c r="F42" s="8">
        <v>1</v>
      </c>
      <c r="G42" s="9"/>
      <c r="H42" s="9"/>
      <c r="I42" s="10">
        <v>7</v>
      </c>
      <c r="J42" s="8">
        <v>15</v>
      </c>
      <c r="K42" s="8">
        <f t="shared" si="6"/>
        <v>37</v>
      </c>
      <c r="L42" s="8">
        <v>0</v>
      </c>
      <c r="M42" s="8"/>
      <c r="N42" s="8"/>
      <c r="O42" s="8">
        <v>37</v>
      </c>
      <c r="P42" s="11">
        <f t="shared" si="7"/>
        <v>0.1891891891891892</v>
      </c>
      <c r="Q42" s="11">
        <f t="shared" si="8"/>
        <v>0.1891891891891892</v>
      </c>
      <c r="R42" s="12">
        <f t="shared" si="9"/>
        <v>0</v>
      </c>
      <c r="S42" s="8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</row>
    <row r="43" spans="1:30" ht="12.75" customHeight="1" x14ac:dyDescent="0.25">
      <c r="A43" s="7">
        <v>46023</v>
      </c>
      <c r="B43" s="8" t="s">
        <v>88</v>
      </c>
      <c r="C43" s="8" t="s">
        <v>17</v>
      </c>
      <c r="D43" s="8" t="s">
        <v>53</v>
      </c>
      <c r="E43" s="8" t="s">
        <v>19</v>
      </c>
      <c r="F43" s="8">
        <v>6</v>
      </c>
      <c r="G43" s="9"/>
      <c r="H43" s="9"/>
      <c r="I43" s="10">
        <v>64</v>
      </c>
      <c r="J43" s="8">
        <v>68</v>
      </c>
      <c r="K43" s="8">
        <f t="shared" si="6"/>
        <v>104</v>
      </c>
      <c r="L43" s="8">
        <v>49</v>
      </c>
      <c r="M43" s="8"/>
      <c r="N43" s="8"/>
      <c r="O43" s="8">
        <v>153</v>
      </c>
      <c r="P43" s="11">
        <f t="shared" si="7"/>
        <v>0.41830065359477125</v>
      </c>
      <c r="Q43" s="11">
        <f t="shared" si="8"/>
        <v>0.61538461538461542</v>
      </c>
      <c r="R43" s="12">
        <f t="shared" si="9"/>
        <v>1078000</v>
      </c>
      <c r="S43" s="8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</row>
    <row r="44" spans="1:30" ht="12.75" customHeight="1" x14ac:dyDescent="0.25">
      <c r="A44" s="7">
        <v>46023</v>
      </c>
      <c r="B44" s="8" t="s">
        <v>88</v>
      </c>
      <c r="C44" s="8" t="s">
        <v>17</v>
      </c>
      <c r="D44" s="8" t="s">
        <v>54</v>
      </c>
      <c r="E44" s="8" t="s">
        <v>19</v>
      </c>
      <c r="F44" s="8">
        <v>5</v>
      </c>
      <c r="G44" s="9"/>
      <c r="H44" s="9"/>
      <c r="I44" s="10">
        <v>28</v>
      </c>
      <c r="J44" s="8">
        <v>38</v>
      </c>
      <c r="K44" s="8">
        <f t="shared" si="6"/>
        <v>138</v>
      </c>
      <c r="L44" s="8">
        <v>10</v>
      </c>
      <c r="M44" s="8"/>
      <c r="N44" s="8"/>
      <c r="O44" s="8">
        <v>148</v>
      </c>
      <c r="P44" s="11">
        <f t="shared" si="7"/>
        <v>0.1891891891891892</v>
      </c>
      <c r="Q44" s="11">
        <f t="shared" si="8"/>
        <v>0.20289855072463769</v>
      </c>
      <c r="R44" s="12">
        <f t="shared" si="9"/>
        <v>220000</v>
      </c>
      <c r="S44" s="8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</row>
    <row r="45" spans="1:30" ht="12.75" customHeight="1" x14ac:dyDescent="0.25">
      <c r="A45" s="7">
        <v>46023</v>
      </c>
      <c r="B45" s="8" t="s">
        <v>87</v>
      </c>
      <c r="C45" s="8" t="s">
        <v>25</v>
      </c>
      <c r="D45" s="8" t="s">
        <v>51</v>
      </c>
      <c r="E45" s="8" t="s">
        <v>19</v>
      </c>
      <c r="F45" s="8">
        <v>5</v>
      </c>
      <c r="G45" s="9"/>
      <c r="H45" s="9">
        <v>1</v>
      </c>
      <c r="I45" s="10">
        <v>13.75</v>
      </c>
      <c r="J45" s="8">
        <v>0</v>
      </c>
      <c r="K45" s="8">
        <f t="shared" si="6"/>
        <v>50</v>
      </c>
      <c r="L45" s="8">
        <v>0</v>
      </c>
      <c r="M45" s="8"/>
      <c r="N45" s="8"/>
      <c r="O45" s="8">
        <v>50</v>
      </c>
      <c r="P45" s="11">
        <f t="shared" si="7"/>
        <v>0.27500000000000002</v>
      </c>
      <c r="Q45" s="11">
        <f t="shared" si="8"/>
        <v>0.27500000000000002</v>
      </c>
      <c r="R45" s="12">
        <f t="shared" si="9"/>
        <v>0</v>
      </c>
      <c r="S45" s="8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</row>
    <row r="46" spans="1:30" ht="12.75" customHeight="1" x14ac:dyDescent="0.25">
      <c r="A46" s="7">
        <v>46023</v>
      </c>
      <c r="B46" s="8" t="s">
        <v>87</v>
      </c>
      <c r="C46" s="8" t="s">
        <v>25</v>
      </c>
      <c r="D46" s="8" t="s">
        <v>26</v>
      </c>
      <c r="E46" s="8" t="s">
        <v>19</v>
      </c>
      <c r="F46" s="8">
        <v>5</v>
      </c>
      <c r="G46" s="9"/>
      <c r="H46" s="9">
        <v>1</v>
      </c>
      <c r="I46" s="10">
        <v>26.25</v>
      </c>
      <c r="J46" s="8">
        <v>0</v>
      </c>
      <c r="K46" s="8">
        <f t="shared" si="6"/>
        <v>34</v>
      </c>
      <c r="L46" s="8">
        <v>0</v>
      </c>
      <c r="M46" s="8"/>
      <c r="N46" s="8"/>
      <c r="O46" s="8">
        <v>34</v>
      </c>
      <c r="P46" s="11">
        <f t="shared" si="7"/>
        <v>0.7720588235294118</v>
      </c>
      <c r="Q46" s="11">
        <f t="shared" si="8"/>
        <v>0.7720588235294118</v>
      </c>
      <c r="R46" s="12">
        <f t="shared" si="9"/>
        <v>0</v>
      </c>
      <c r="S46" s="8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</row>
    <row r="47" spans="1:30" ht="12.75" customHeight="1" x14ac:dyDescent="0.25">
      <c r="A47" s="7">
        <v>46023</v>
      </c>
      <c r="B47" s="8" t="s">
        <v>87</v>
      </c>
      <c r="C47" s="8" t="s">
        <v>25</v>
      </c>
      <c r="D47" s="8" t="s">
        <v>27</v>
      </c>
      <c r="E47" s="8" t="s">
        <v>19</v>
      </c>
      <c r="F47" s="8">
        <v>2</v>
      </c>
      <c r="G47" s="9"/>
      <c r="H47" s="9">
        <v>1</v>
      </c>
      <c r="I47" s="10">
        <v>16.16</v>
      </c>
      <c r="J47" s="8">
        <v>0</v>
      </c>
      <c r="K47" s="8">
        <f t="shared" si="6"/>
        <v>25</v>
      </c>
      <c r="L47" s="8">
        <v>24</v>
      </c>
      <c r="M47" s="8"/>
      <c r="N47" s="8"/>
      <c r="O47" s="8">
        <v>49</v>
      </c>
      <c r="P47" s="11">
        <f t="shared" si="7"/>
        <v>0.32979591836734695</v>
      </c>
      <c r="Q47" s="11">
        <f t="shared" si="8"/>
        <v>0.64639999999999997</v>
      </c>
      <c r="R47" s="12">
        <f t="shared" si="9"/>
        <v>528000</v>
      </c>
      <c r="S47" s="8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</row>
    <row r="48" spans="1:30" ht="12.75" customHeight="1" x14ac:dyDescent="0.25">
      <c r="A48" s="7">
        <v>46023</v>
      </c>
      <c r="B48" s="8" t="s">
        <v>87</v>
      </c>
      <c r="C48" s="8" t="s">
        <v>25</v>
      </c>
      <c r="D48" s="8" t="s">
        <v>28</v>
      </c>
      <c r="E48" s="8" t="s">
        <v>19</v>
      </c>
      <c r="F48" s="8">
        <v>4</v>
      </c>
      <c r="G48" s="9"/>
      <c r="H48" s="9">
        <v>1</v>
      </c>
      <c r="I48" s="10">
        <v>32.32</v>
      </c>
      <c r="J48" s="8">
        <v>43</v>
      </c>
      <c r="K48" s="8">
        <f t="shared" si="6"/>
        <v>85</v>
      </c>
      <c r="L48" s="8">
        <v>46</v>
      </c>
      <c r="M48" s="8"/>
      <c r="N48" s="8"/>
      <c r="O48" s="8">
        <v>47</v>
      </c>
      <c r="P48" s="11">
        <f t="shared" si="7"/>
        <v>0.68765957446808512</v>
      </c>
      <c r="Q48" s="11">
        <f t="shared" si="8"/>
        <v>0.38023529411764706</v>
      </c>
      <c r="R48" s="12">
        <f t="shared" si="9"/>
        <v>1012000</v>
      </c>
      <c r="S48" s="8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</row>
    <row r="49" spans="1:30" ht="12.75" customHeight="1" x14ac:dyDescent="0.25">
      <c r="A49" s="7">
        <v>46023</v>
      </c>
      <c r="B49" s="8" t="s">
        <v>87</v>
      </c>
      <c r="C49" s="8" t="s">
        <v>25</v>
      </c>
      <c r="D49" s="8" t="s">
        <v>29</v>
      </c>
      <c r="E49" s="8" t="s">
        <v>19</v>
      </c>
      <c r="F49" s="8">
        <v>14</v>
      </c>
      <c r="G49" s="9"/>
      <c r="H49" s="9">
        <v>1</v>
      </c>
      <c r="I49" s="10">
        <v>39</v>
      </c>
      <c r="J49" s="8">
        <v>41</v>
      </c>
      <c r="K49" s="8">
        <f t="shared" si="6"/>
        <v>50</v>
      </c>
      <c r="L49" s="8">
        <v>17</v>
      </c>
      <c r="M49" s="8"/>
      <c r="N49" s="8"/>
      <c r="O49" s="8">
        <v>49</v>
      </c>
      <c r="P49" s="11">
        <f t="shared" si="7"/>
        <v>0.79591836734693877</v>
      </c>
      <c r="Q49" s="11">
        <f t="shared" si="8"/>
        <v>0.78</v>
      </c>
      <c r="R49" s="12">
        <f t="shared" si="9"/>
        <v>374000</v>
      </c>
      <c r="S49" s="8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</row>
    <row r="50" spans="1:30" ht="12.75" customHeight="1" x14ac:dyDescent="0.25">
      <c r="A50" s="7">
        <v>46023</v>
      </c>
      <c r="B50" s="8" t="s">
        <v>87</v>
      </c>
      <c r="C50" s="8" t="s">
        <v>25</v>
      </c>
      <c r="D50" s="8" t="s">
        <v>30</v>
      </c>
      <c r="E50" s="8" t="s">
        <v>19</v>
      </c>
      <c r="F50" s="8">
        <v>11</v>
      </c>
      <c r="G50" s="9"/>
      <c r="H50" s="9">
        <v>1</v>
      </c>
      <c r="I50" s="10">
        <v>28.26</v>
      </c>
      <c r="J50" s="8">
        <v>40</v>
      </c>
      <c r="K50" s="8">
        <f t="shared" si="6"/>
        <v>49</v>
      </c>
      <c r="L50" s="8">
        <v>8</v>
      </c>
      <c r="M50" s="8"/>
      <c r="N50" s="8"/>
      <c r="O50" s="8">
        <v>39</v>
      </c>
      <c r="P50" s="11">
        <f t="shared" si="7"/>
        <v>0.72461538461538466</v>
      </c>
      <c r="Q50" s="11">
        <f t="shared" si="8"/>
        <v>0.57673469387755105</v>
      </c>
      <c r="R50" s="12">
        <f t="shared" si="9"/>
        <v>176000</v>
      </c>
      <c r="S50" s="8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</row>
    <row r="51" spans="1:30" ht="12.75" customHeight="1" x14ac:dyDescent="0.25">
      <c r="A51" s="7">
        <v>46023</v>
      </c>
      <c r="B51" s="8" t="s">
        <v>87</v>
      </c>
      <c r="C51" s="8" t="s">
        <v>25</v>
      </c>
      <c r="D51" s="8" t="s">
        <v>31</v>
      </c>
      <c r="E51" s="8" t="s">
        <v>19</v>
      </c>
      <c r="F51" s="8">
        <v>4</v>
      </c>
      <c r="G51" s="9"/>
      <c r="H51" s="9">
        <v>1</v>
      </c>
      <c r="I51" s="10">
        <v>9.8000000000000007</v>
      </c>
      <c r="J51" s="8">
        <v>14</v>
      </c>
      <c r="K51" s="8">
        <f t="shared" si="6"/>
        <v>39</v>
      </c>
      <c r="L51" s="8">
        <v>37</v>
      </c>
      <c r="M51" s="8"/>
      <c r="N51" s="8"/>
      <c r="O51" s="8">
        <v>26</v>
      </c>
      <c r="P51" s="11">
        <f t="shared" si="7"/>
        <v>0.37692307692307697</v>
      </c>
      <c r="Q51" s="11">
        <f t="shared" si="8"/>
        <v>0.25128205128205128</v>
      </c>
      <c r="R51" s="12">
        <f t="shared" si="9"/>
        <v>814000</v>
      </c>
      <c r="S51" s="8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</row>
    <row r="52" spans="1:30" ht="12.75" customHeight="1" x14ac:dyDescent="0.25">
      <c r="A52" s="7">
        <v>46023</v>
      </c>
      <c r="B52" s="8" t="s">
        <v>87</v>
      </c>
      <c r="C52" s="8" t="s">
        <v>25</v>
      </c>
      <c r="D52" s="8" t="s">
        <v>32</v>
      </c>
      <c r="E52" s="8" t="s">
        <v>21</v>
      </c>
      <c r="F52" s="8">
        <v>4</v>
      </c>
      <c r="G52" s="9"/>
      <c r="H52" s="9">
        <v>2</v>
      </c>
      <c r="I52" s="10">
        <v>63.76</v>
      </c>
      <c r="J52" s="8">
        <v>100</v>
      </c>
      <c r="K52" s="8">
        <f t="shared" si="6"/>
        <v>101</v>
      </c>
      <c r="L52" s="8">
        <v>133</v>
      </c>
      <c r="M52" s="8"/>
      <c r="N52" s="8"/>
      <c r="O52" s="8">
        <v>232</v>
      </c>
      <c r="P52" s="11">
        <f t="shared" si="7"/>
        <v>0.27482758620689657</v>
      </c>
      <c r="Q52" s="11">
        <f t="shared" si="8"/>
        <v>0.63128712871287129</v>
      </c>
      <c r="R52" s="12">
        <f t="shared" si="9"/>
        <v>2926000</v>
      </c>
      <c r="S52" s="8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</row>
    <row r="53" spans="1:30" ht="12.75" customHeight="1" x14ac:dyDescent="0.25">
      <c r="A53" s="7">
        <v>46023</v>
      </c>
      <c r="B53" s="8" t="s">
        <v>87</v>
      </c>
      <c r="C53" s="8" t="s">
        <v>25</v>
      </c>
      <c r="D53" s="8" t="s">
        <v>36</v>
      </c>
      <c r="E53" s="8" t="s">
        <v>21</v>
      </c>
      <c r="F53" s="8">
        <v>4</v>
      </c>
      <c r="G53" s="9"/>
      <c r="H53" s="9">
        <v>2</v>
      </c>
      <c r="I53" s="10">
        <v>63.76</v>
      </c>
      <c r="J53" s="8">
        <v>129</v>
      </c>
      <c r="K53" s="8">
        <f t="shared" si="6"/>
        <v>166</v>
      </c>
      <c r="L53" s="8">
        <v>111</v>
      </c>
      <c r="M53" s="8"/>
      <c r="N53" s="8"/>
      <c r="O53" s="8">
        <v>277</v>
      </c>
      <c r="P53" s="11">
        <f t="shared" si="7"/>
        <v>0.23018050541516244</v>
      </c>
      <c r="Q53" s="11">
        <f t="shared" si="8"/>
        <v>0.38409638554216868</v>
      </c>
      <c r="R53" s="12">
        <f t="shared" si="9"/>
        <v>2442000</v>
      </c>
      <c r="S53" s="8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</row>
    <row r="54" spans="1:30" ht="12.75" customHeight="1" x14ac:dyDescent="0.25">
      <c r="A54" s="7">
        <v>46023</v>
      </c>
      <c r="B54" s="8" t="s">
        <v>33</v>
      </c>
      <c r="C54" s="8" t="s">
        <v>34</v>
      </c>
      <c r="D54" s="8" t="s">
        <v>35</v>
      </c>
      <c r="E54" s="8" t="s">
        <v>19</v>
      </c>
      <c r="F54" s="8">
        <v>115</v>
      </c>
      <c r="G54" s="9"/>
      <c r="H54" s="9">
        <v>6</v>
      </c>
      <c r="I54" s="10">
        <v>611</v>
      </c>
      <c r="J54" s="8">
        <v>312</v>
      </c>
      <c r="K54" s="8">
        <f t="shared" si="6"/>
        <v>873</v>
      </c>
      <c r="L54" s="8">
        <v>18</v>
      </c>
      <c r="M54" s="8"/>
      <c r="N54" s="8"/>
      <c r="O54" s="8">
        <v>891</v>
      </c>
      <c r="P54" s="11">
        <f t="shared" si="7"/>
        <v>0.68574635241301907</v>
      </c>
      <c r="Q54" s="11">
        <f t="shared" si="8"/>
        <v>0.69988545246277201</v>
      </c>
      <c r="R54" s="12">
        <f t="shared" si="9"/>
        <v>396000</v>
      </c>
      <c r="S54" s="8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</row>
    <row r="55" spans="1:30" ht="12.75" customHeight="1" x14ac:dyDescent="0.25">
      <c r="A55" s="7">
        <v>46023</v>
      </c>
      <c r="B55" s="8" t="s">
        <v>33</v>
      </c>
      <c r="C55" s="8" t="s">
        <v>46</v>
      </c>
      <c r="D55" s="8" t="s">
        <v>47</v>
      </c>
      <c r="E55" s="8" t="s">
        <v>21</v>
      </c>
      <c r="F55" s="8">
        <v>104</v>
      </c>
      <c r="G55" s="9"/>
      <c r="H55" s="9">
        <v>8</v>
      </c>
      <c r="I55" s="10">
        <v>493</v>
      </c>
      <c r="J55" s="8">
        <v>521</v>
      </c>
      <c r="K55" s="8">
        <f t="shared" si="6"/>
        <v>705</v>
      </c>
      <c r="L55" s="8">
        <v>350</v>
      </c>
      <c r="M55" s="8"/>
      <c r="N55" s="8"/>
      <c r="O55" s="8">
        <v>1055</v>
      </c>
      <c r="P55" s="11">
        <f t="shared" si="7"/>
        <v>0.46729857819905213</v>
      </c>
      <c r="Q55" s="11">
        <f t="shared" si="8"/>
        <v>0.69929078014184398</v>
      </c>
      <c r="R55" s="12">
        <f t="shared" si="9"/>
        <v>7700000</v>
      </c>
      <c r="S55" s="8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</row>
    <row r="56" spans="1:30" ht="12.75" customHeight="1" x14ac:dyDescent="0.25">
      <c r="A56" s="7">
        <v>46023</v>
      </c>
      <c r="B56" s="8" t="s">
        <v>88</v>
      </c>
      <c r="C56" s="8" t="s">
        <v>89</v>
      </c>
      <c r="D56" s="8" t="s">
        <v>37</v>
      </c>
      <c r="E56" s="8" t="s">
        <v>19</v>
      </c>
      <c r="F56" s="8">
        <v>12</v>
      </c>
      <c r="G56" s="9">
        <v>9.1999999999999993</v>
      </c>
      <c r="H56" s="9">
        <v>2</v>
      </c>
      <c r="I56" s="10">
        <f t="shared" ref="I56:I63" si="10">(G56*F56)+0.25*F56</f>
        <v>113.39999999999999</v>
      </c>
      <c r="J56" s="8">
        <v>130</v>
      </c>
      <c r="K56" s="8">
        <f t="shared" si="6"/>
        <v>132</v>
      </c>
      <c r="L56" s="16">
        <v>105</v>
      </c>
      <c r="M56" s="16"/>
      <c r="N56" s="16"/>
      <c r="O56" s="8">
        <v>233</v>
      </c>
      <c r="P56" s="11">
        <f t="shared" si="7"/>
        <v>0.48669527896995707</v>
      </c>
      <c r="Q56" s="11">
        <f t="shared" si="8"/>
        <v>0.85909090909090902</v>
      </c>
      <c r="R56" s="12">
        <f t="shared" si="9"/>
        <v>2310000</v>
      </c>
      <c r="S56" s="8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</row>
    <row r="57" spans="1:30" ht="12.75" customHeight="1" x14ac:dyDescent="0.25">
      <c r="A57" s="7">
        <v>46023</v>
      </c>
      <c r="B57" s="8" t="s">
        <v>88</v>
      </c>
      <c r="C57" s="8" t="s">
        <v>89</v>
      </c>
      <c r="D57" s="8" t="s">
        <v>38</v>
      </c>
      <c r="E57" s="8" t="s">
        <v>19</v>
      </c>
      <c r="F57" s="8">
        <v>12</v>
      </c>
      <c r="G57" s="9">
        <v>7.61</v>
      </c>
      <c r="H57" s="9">
        <v>2</v>
      </c>
      <c r="I57" s="10">
        <f t="shared" si="10"/>
        <v>94.320000000000007</v>
      </c>
      <c r="J57" s="8">
        <v>139</v>
      </c>
      <c r="K57" s="8">
        <f t="shared" si="6"/>
        <v>157</v>
      </c>
      <c r="L57" s="16">
        <v>77</v>
      </c>
      <c r="M57" s="16"/>
      <c r="N57" s="16"/>
      <c r="O57" s="8">
        <v>234</v>
      </c>
      <c r="P57" s="11">
        <f t="shared" si="7"/>
        <v>0.40307692307692311</v>
      </c>
      <c r="Q57" s="11">
        <f t="shared" si="8"/>
        <v>0.60076433121019113</v>
      </c>
      <c r="R57" s="12">
        <f t="shared" si="9"/>
        <v>1694000</v>
      </c>
      <c r="S57" s="8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</row>
    <row r="58" spans="1:30" ht="12.75" customHeight="1" x14ac:dyDescent="0.25">
      <c r="A58" s="7">
        <v>46023</v>
      </c>
      <c r="B58" s="8" t="s">
        <v>88</v>
      </c>
      <c r="C58" s="8" t="s">
        <v>89</v>
      </c>
      <c r="D58" s="8" t="s">
        <v>39</v>
      </c>
      <c r="E58" s="8" t="s">
        <v>19</v>
      </c>
      <c r="F58" s="8">
        <v>17</v>
      </c>
      <c r="G58" s="9">
        <v>12.98</v>
      </c>
      <c r="H58" s="9">
        <v>3</v>
      </c>
      <c r="I58" s="10">
        <f t="shared" si="10"/>
        <v>224.91</v>
      </c>
      <c r="J58" s="8">
        <v>301</v>
      </c>
      <c r="K58" s="8">
        <f t="shared" si="6"/>
        <v>313</v>
      </c>
      <c r="L58" s="16">
        <v>81</v>
      </c>
      <c r="M58" s="16"/>
      <c r="N58" s="16"/>
      <c r="O58" s="8">
        <v>394</v>
      </c>
      <c r="P58" s="11">
        <f t="shared" si="7"/>
        <v>0.57083756345177661</v>
      </c>
      <c r="Q58" s="11">
        <f t="shared" si="8"/>
        <v>0.71856230031948876</v>
      </c>
      <c r="R58" s="12">
        <f t="shared" si="9"/>
        <v>1782000</v>
      </c>
      <c r="S58" s="8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</row>
    <row r="59" spans="1:30" ht="12.75" customHeight="1" x14ac:dyDescent="0.25">
      <c r="A59" s="7">
        <v>46023</v>
      </c>
      <c r="B59" s="8" t="s">
        <v>88</v>
      </c>
      <c r="C59" s="8" t="s">
        <v>89</v>
      </c>
      <c r="D59" s="8" t="s">
        <v>40</v>
      </c>
      <c r="E59" s="8" t="s">
        <v>19</v>
      </c>
      <c r="F59" s="8">
        <v>17</v>
      </c>
      <c r="G59" s="9">
        <v>4.6900000000000004</v>
      </c>
      <c r="H59" s="9">
        <v>1</v>
      </c>
      <c r="I59" s="10">
        <f t="shared" si="10"/>
        <v>83.98</v>
      </c>
      <c r="J59" s="8">
        <v>91</v>
      </c>
      <c r="K59" s="8">
        <f t="shared" si="6"/>
        <v>93</v>
      </c>
      <c r="L59" s="16">
        <v>8</v>
      </c>
      <c r="M59" s="16"/>
      <c r="N59" s="16"/>
      <c r="O59" s="8">
        <v>101</v>
      </c>
      <c r="P59" s="11">
        <f t="shared" si="7"/>
        <v>0.83148514851485156</v>
      </c>
      <c r="Q59" s="11">
        <f t="shared" si="8"/>
        <v>0.9030107526881721</v>
      </c>
      <c r="R59" s="12">
        <f t="shared" si="9"/>
        <v>176000</v>
      </c>
      <c r="S59" s="8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</row>
    <row r="60" spans="1:30" ht="12.75" customHeight="1" x14ac:dyDescent="0.25">
      <c r="A60" s="7">
        <v>46023</v>
      </c>
      <c r="B60" s="8" t="s">
        <v>88</v>
      </c>
      <c r="C60" s="8" t="s">
        <v>89</v>
      </c>
      <c r="D60" s="8" t="s">
        <v>41</v>
      </c>
      <c r="E60" s="8" t="s">
        <v>19</v>
      </c>
      <c r="F60" s="8">
        <v>9</v>
      </c>
      <c r="G60" s="9">
        <v>4.6100000000000003</v>
      </c>
      <c r="H60" s="9">
        <v>1</v>
      </c>
      <c r="I60" s="10">
        <f t="shared" si="10"/>
        <v>43.74</v>
      </c>
      <c r="J60" s="8">
        <v>56</v>
      </c>
      <c r="K60" s="8">
        <f t="shared" si="6"/>
        <v>205</v>
      </c>
      <c r="L60" s="16">
        <v>16</v>
      </c>
      <c r="M60" s="16"/>
      <c r="N60" s="16"/>
      <c r="O60" s="8">
        <v>221</v>
      </c>
      <c r="P60" s="11">
        <f t="shared" si="7"/>
        <v>0.1979185520361991</v>
      </c>
      <c r="Q60" s="11">
        <f t="shared" si="8"/>
        <v>0.21336585365853661</v>
      </c>
      <c r="R60" s="12">
        <f t="shared" si="9"/>
        <v>352000</v>
      </c>
      <c r="S60" s="8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</row>
    <row r="61" spans="1:30" ht="12.75" customHeight="1" x14ac:dyDescent="0.25">
      <c r="A61" s="7">
        <v>46023</v>
      </c>
      <c r="B61" s="8" t="s">
        <v>88</v>
      </c>
      <c r="C61" s="8" t="s">
        <v>89</v>
      </c>
      <c r="D61" s="8" t="s">
        <v>42</v>
      </c>
      <c r="E61" s="8" t="s">
        <v>19</v>
      </c>
      <c r="F61" s="8">
        <v>12</v>
      </c>
      <c r="G61" s="9">
        <v>4.5</v>
      </c>
      <c r="H61" s="9">
        <v>1</v>
      </c>
      <c r="I61" s="10">
        <f t="shared" si="10"/>
        <v>57</v>
      </c>
      <c r="J61" s="8">
        <v>81</v>
      </c>
      <c r="K61" s="8">
        <f t="shared" si="6"/>
        <v>138</v>
      </c>
      <c r="L61" s="16">
        <v>30</v>
      </c>
      <c r="M61" s="16"/>
      <c r="N61" s="16"/>
      <c r="O61" s="8">
        <v>168</v>
      </c>
      <c r="P61" s="11">
        <f t="shared" si="7"/>
        <v>0.3392857142857143</v>
      </c>
      <c r="Q61" s="11">
        <f t="shared" si="8"/>
        <v>0.41304347826086957</v>
      </c>
      <c r="R61" s="12">
        <f t="shared" si="9"/>
        <v>660000</v>
      </c>
      <c r="S61" s="8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</row>
    <row r="62" spans="1:30" ht="12.75" customHeight="1" x14ac:dyDescent="0.25">
      <c r="A62" s="7">
        <v>46023</v>
      </c>
      <c r="B62" s="8" t="s">
        <v>88</v>
      </c>
      <c r="C62" s="8" t="s">
        <v>89</v>
      </c>
      <c r="D62" s="8" t="s">
        <v>43</v>
      </c>
      <c r="E62" s="8" t="s">
        <v>19</v>
      </c>
      <c r="F62" s="8">
        <v>13</v>
      </c>
      <c r="G62" s="9">
        <v>9.1999999999999993</v>
      </c>
      <c r="H62" s="9">
        <v>2</v>
      </c>
      <c r="I62" s="10">
        <f t="shared" si="10"/>
        <v>122.85</v>
      </c>
      <c r="J62" s="8">
        <v>209</v>
      </c>
      <c r="K62" s="8">
        <f t="shared" si="6"/>
        <v>226</v>
      </c>
      <c r="L62" s="16">
        <v>88</v>
      </c>
      <c r="M62" s="16"/>
      <c r="N62" s="16"/>
      <c r="O62" s="8">
        <v>280</v>
      </c>
      <c r="P62" s="11">
        <f t="shared" si="7"/>
        <v>0.43874999999999997</v>
      </c>
      <c r="Q62" s="11">
        <f t="shared" si="8"/>
        <v>0.54358407079646021</v>
      </c>
      <c r="R62" s="12">
        <f t="shared" si="9"/>
        <v>1936000</v>
      </c>
      <c r="S62" s="8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</row>
    <row r="63" spans="1:30" ht="12.75" customHeight="1" x14ac:dyDescent="0.25">
      <c r="A63" s="7">
        <v>46023</v>
      </c>
      <c r="B63" s="8" t="s">
        <v>88</v>
      </c>
      <c r="C63" s="8" t="s">
        <v>89</v>
      </c>
      <c r="D63" s="8" t="s">
        <v>44</v>
      </c>
      <c r="E63" s="8" t="s">
        <v>19</v>
      </c>
      <c r="F63" s="8">
        <v>6</v>
      </c>
      <c r="G63" s="9">
        <f>20736/3600</f>
        <v>5.76</v>
      </c>
      <c r="H63" s="9">
        <v>1</v>
      </c>
      <c r="I63" s="10">
        <f t="shared" si="10"/>
        <v>36.06</v>
      </c>
      <c r="J63" s="8">
        <v>31</v>
      </c>
      <c r="K63" s="8">
        <f t="shared" si="6"/>
        <v>31</v>
      </c>
      <c r="L63" s="16">
        <v>4</v>
      </c>
      <c r="M63" s="16"/>
      <c r="N63" s="16"/>
      <c r="O63" s="8">
        <v>35</v>
      </c>
      <c r="P63" s="11">
        <f t="shared" si="7"/>
        <v>1.0302857142857142</v>
      </c>
      <c r="Q63" s="11">
        <f t="shared" si="8"/>
        <v>1.163225806451613</v>
      </c>
      <c r="R63" s="12">
        <f t="shared" si="9"/>
        <v>88000</v>
      </c>
      <c r="S63" s="8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</row>
    <row r="64" spans="1:30" ht="12.75" customHeight="1" x14ac:dyDescent="0.25">
      <c r="A64" s="7">
        <v>46023</v>
      </c>
      <c r="B64" s="8" t="s">
        <v>33</v>
      </c>
      <c r="C64" s="8" t="s">
        <v>61</v>
      </c>
      <c r="D64" s="8" t="s">
        <v>62</v>
      </c>
      <c r="E64" s="8" t="s">
        <v>19</v>
      </c>
      <c r="F64" s="8">
        <v>119</v>
      </c>
      <c r="G64" s="9"/>
      <c r="H64" s="9">
        <v>3</v>
      </c>
      <c r="I64" s="10">
        <v>371</v>
      </c>
      <c r="J64" s="8">
        <v>382</v>
      </c>
      <c r="K64" s="8">
        <f t="shared" si="6"/>
        <v>406</v>
      </c>
      <c r="L64" s="8">
        <v>26</v>
      </c>
      <c r="M64" s="8"/>
      <c r="N64" s="8"/>
      <c r="O64" s="8">
        <v>384</v>
      </c>
      <c r="P64" s="11">
        <f t="shared" si="7"/>
        <v>0.96614583333333337</v>
      </c>
      <c r="Q64" s="11">
        <f t="shared" si="8"/>
        <v>0.91379310344827591</v>
      </c>
      <c r="R64" s="12">
        <f t="shared" si="9"/>
        <v>572000</v>
      </c>
      <c r="S64" s="8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</row>
    <row r="65" spans="1:30" ht="12.75" customHeight="1" x14ac:dyDescent="0.25">
      <c r="A65" s="7">
        <v>46023</v>
      </c>
      <c r="B65" s="8" t="s">
        <v>33</v>
      </c>
      <c r="C65" s="8" t="s">
        <v>63</v>
      </c>
      <c r="D65" s="8" t="s">
        <v>64</v>
      </c>
      <c r="E65" s="14" t="s">
        <v>19</v>
      </c>
      <c r="F65" s="8">
        <v>48</v>
      </c>
      <c r="G65" s="9"/>
      <c r="H65" s="9">
        <v>4</v>
      </c>
      <c r="I65" s="10">
        <v>523</v>
      </c>
      <c r="J65" s="8">
        <v>382</v>
      </c>
      <c r="K65" s="8">
        <f t="shared" si="6"/>
        <v>423</v>
      </c>
      <c r="L65" s="8">
        <v>25</v>
      </c>
      <c r="M65" s="8"/>
      <c r="N65" s="8"/>
      <c r="O65" s="8">
        <v>448</v>
      </c>
      <c r="P65" s="11">
        <f t="shared" si="7"/>
        <v>1.1674107142857142</v>
      </c>
      <c r="Q65" s="11">
        <f t="shared" si="8"/>
        <v>1.2364066193853427</v>
      </c>
      <c r="R65" s="12">
        <f t="shared" si="9"/>
        <v>550000</v>
      </c>
      <c r="S65" s="8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</row>
    <row r="66" spans="1:30" ht="12.75" customHeight="1" x14ac:dyDescent="0.25">
      <c r="A66" s="7">
        <v>46023</v>
      </c>
      <c r="B66" s="8" t="s">
        <v>33</v>
      </c>
      <c r="C66" s="8" t="s">
        <v>63</v>
      </c>
      <c r="D66" s="8" t="s">
        <v>65</v>
      </c>
      <c r="E66" s="14" t="s">
        <v>19</v>
      </c>
      <c r="F66" s="8">
        <v>40</v>
      </c>
      <c r="G66" s="9"/>
      <c r="H66" s="9">
        <v>4</v>
      </c>
      <c r="I66" s="10">
        <v>444</v>
      </c>
      <c r="J66" s="8">
        <v>314</v>
      </c>
      <c r="K66" s="8">
        <f t="shared" ref="K66:K97" si="11">J66+ABS(O66-(J66+L66))</f>
        <v>513</v>
      </c>
      <c r="L66" s="8">
        <v>19</v>
      </c>
      <c r="M66" s="8"/>
      <c r="N66" s="8"/>
      <c r="O66" s="8">
        <v>532</v>
      </c>
      <c r="P66" s="11">
        <f t="shared" ref="P66:P97" si="12">+I66/O66</f>
        <v>0.83458646616541354</v>
      </c>
      <c r="Q66" s="11">
        <f t="shared" ref="Q66:Q97" si="13">+I66/K66</f>
        <v>0.86549707602339176</v>
      </c>
      <c r="R66" s="12">
        <f t="shared" ref="R66:R97" si="14">+L66*22000</f>
        <v>418000</v>
      </c>
      <c r="S66" s="8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</row>
    <row r="67" spans="1:30" ht="12.75" customHeight="1" x14ac:dyDescent="0.25">
      <c r="A67" s="7">
        <v>46023</v>
      </c>
      <c r="B67" s="8" t="s">
        <v>33</v>
      </c>
      <c r="C67" s="8" t="s">
        <v>63</v>
      </c>
      <c r="D67" s="8" t="s">
        <v>66</v>
      </c>
      <c r="E67" s="14" t="s">
        <v>19</v>
      </c>
      <c r="F67" s="8">
        <v>51</v>
      </c>
      <c r="G67" s="9"/>
      <c r="H67" s="9">
        <v>4</v>
      </c>
      <c r="I67" s="10">
        <v>508</v>
      </c>
      <c r="J67" s="8">
        <v>379</v>
      </c>
      <c r="K67" s="8">
        <f t="shared" si="11"/>
        <v>436</v>
      </c>
      <c r="L67" s="8">
        <v>35</v>
      </c>
      <c r="M67" s="8"/>
      <c r="N67" s="8"/>
      <c r="O67" s="8">
        <v>471</v>
      </c>
      <c r="P67" s="11">
        <f t="shared" si="12"/>
        <v>1.078556263269639</v>
      </c>
      <c r="Q67" s="11">
        <f t="shared" si="13"/>
        <v>1.165137614678899</v>
      </c>
      <c r="R67" s="12">
        <f t="shared" si="14"/>
        <v>770000</v>
      </c>
      <c r="S67" s="8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</row>
    <row r="68" spans="1:30" ht="12.75" customHeight="1" x14ac:dyDescent="0.25">
      <c r="A68" s="7">
        <v>46023</v>
      </c>
      <c r="B68" s="8" t="s">
        <v>33</v>
      </c>
      <c r="C68" s="8" t="s">
        <v>63</v>
      </c>
      <c r="D68" s="8" t="s">
        <v>85</v>
      </c>
      <c r="E68" s="14" t="s">
        <v>19</v>
      </c>
      <c r="F68" s="8">
        <v>21</v>
      </c>
      <c r="G68" s="9"/>
      <c r="H68" s="9">
        <v>2</v>
      </c>
      <c r="I68" s="10">
        <v>121</v>
      </c>
      <c r="J68" s="8">
        <v>121</v>
      </c>
      <c r="K68" s="8">
        <f t="shared" si="11"/>
        <v>123</v>
      </c>
      <c r="L68" s="8">
        <v>1</v>
      </c>
      <c r="M68" s="8"/>
      <c r="N68" s="8"/>
      <c r="O68" s="8">
        <v>124</v>
      </c>
      <c r="P68" s="11">
        <f t="shared" si="12"/>
        <v>0.97580645161290325</v>
      </c>
      <c r="Q68" s="11">
        <f t="shared" si="13"/>
        <v>0.98373983739837401</v>
      </c>
      <c r="R68" s="12">
        <f t="shared" si="14"/>
        <v>22000</v>
      </c>
      <c r="S68" s="8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</row>
    <row r="69" spans="1:30" ht="12.75" customHeight="1" x14ac:dyDescent="0.25">
      <c r="A69" s="7">
        <v>46023</v>
      </c>
      <c r="B69" s="8" t="s">
        <v>88</v>
      </c>
      <c r="C69" s="8" t="s">
        <v>89</v>
      </c>
      <c r="D69" s="8" t="s">
        <v>45</v>
      </c>
      <c r="E69" s="8" t="s">
        <v>19</v>
      </c>
      <c r="F69" s="8">
        <v>11</v>
      </c>
      <c r="G69" s="9">
        <v>10.039999999999999</v>
      </c>
      <c r="H69" s="9">
        <v>2</v>
      </c>
      <c r="I69" s="10">
        <f>(G69*F69)+0.25*F69</f>
        <v>113.19</v>
      </c>
      <c r="J69" s="8">
        <v>123</v>
      </c>
      <c r="K69" s="8">
        <f t="shared" si="11"/>
        <v>234</v>
      </c>
      <c r="L69" s="16">
        <v>25</v>
      </c>
      <c r="M69" s="16"/>
      <c r="N69" s="16"/>
      <c r="O69" s="8">
        <v>259</v>
      </c>
      <c r="P69" s="11">
        <f t="shared" si="12"/>
        <v>0.437027027027027</v>
      </c>
      <c r="Q69" s="11">
        <f t="shared" si="13"/>
        <v>0.48371794871794871</v>
      </c>
      <c r="R69" s="12">
        <f t="shared" si="14"/>
        <v>550000</v>
      </c>
      <c r="S69" s="8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</row>
    <row r="70" spans="1:30" ht="12.75" customHeight="1" x14ac:dyDescent="0.25">
      <c r="A70" s="7">
        <v>46023</v>
      </c>
      <c r="B70" s="8" t="s">
        <v>88</v>
      </c>
      <c r="C70" s="8" t="s">
        <v>89</v>
      </c>
      <c r="D70" s="8" t="s">
        <v>86</v>
      </c>
      <c r="E70" s="8" t="s">
        <v>21</v>
      </c>
      <c r="F70" s="8">
        <v>12</v>
      </c>
      <c r="G70" s="9">
        <v>8.98</v>
      </c>
      <c r="H70" s="9">
        <v>2</v>
      </c>
      <c r="I70" s="10">
        <f>(G70*F70)+0.25*F70</f>
        <v>110.76</v>
      </c>
      <c r="J70" s="8">
        <v>214</v>
      </c>
      <c r="K70" s="8">
        <f t="shared" si="11"/>
        <v>238</v>
      </c>
      <c r="L70" s="16">
        <v>82</v>
      </c>
      <c r="M70" s="16"/>
      <c r="N70" s="16"/>
      <c r="O70" s="8">
        <v>272</v>
      </c>
      <c r="P70" s="11">
        <f t="shared" si="12"/>
        <v>0.4072058823529412</v>
      </c>
      <c r="Q70" s="11">
        <f t="shared" si="13"/>
        <v>0.46537815126050425</v>
      </c>
      <c r="R70" s="12">
        <f t="shared" si="14"/>
        <v>1804000</v>
      </c>
      <c r="S70" s="8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</row>
    <row r="71" spans="1:30" ht="12.75" customHeight="1" x14ac:dyDescent="0.25">
      <c r="A71" s="7">
        <v>46023</v>
      </c>
      <c r="B71" s="8" t="s">
        <v>88</v>
      </c>
      <c r="C71" s="8" t="s">
        <v>89</v>
      </c>
      <c r="D71" s="8" t="s">
        <v>48</v>
      </c>
      <c r="E71" s="8" t="s">
        <v>19</v>
      </c>
      <c r="F71" s="8">
        <v>15</v>
      </c>
      <c r="G71" s="9">
        <v>4.33</v>
      </c>
      <c r="H71" s="9">
        <v>1</v>
      </c>
      <c r="I71" s="10">
        <f>(G71*F71)+0.25*F71</f>
        <v>68.7</v>
      </c>
      <c r="J71" s="8">
        <v>65</v>
      </c>
      <c r="K71" s="8">
        <f t="shared" si="11"/>
        <v>68</v>
      </c>
      <c r="L71" s="16">
        <v>45</v>
      </c>
      <c r="M71" s="16"/>
      <c r="N71" s="16"/>
      <c r="O71" s="8">
        <v>107</v>
      </c>
      <c r="P71" s="11">
        <f t="shared" si="12"/>
        <v>0.64205607476635518</v>
      </c>
      <c r="Q71" s="11">
        <f t="shared" si="13"/>
        <v>1.0102941176470588</v>
      </c>
      <c r="R71" s="12">
        <f t="shared" si="14"/>
        <v>990000</v>
      </c>
      <c r="S71" s="8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</row>
    <row r="72" spans="1:30" ht="12.75" customHeight="1" x14ac:dyDescent="0.25">
      <c r="A72" s="7">
        <v>46023</v>
      </c>
      <c r="B72" s="8" t="s">
        <v>88</v>
      </c>
      <c r="C72" s="8" t="s">
        <v>89</v>
      </c>
      <c r="D72" s="8" t="s">
        <v>49</v>
      </c>
      <c r="E72" s="8" t="s">
        <v>19</v>
      </c>
      <c r="F72" s="8">
        <v>10</v>
      </c>
      <c r="G72" s="9">
        <v>4.5999999999999996</v>
      </c>
      <c r="H72" s="9">
        <v>1</v>
      </c>
      <c r="I72" s="10">
        <f>(G72*F72)+0.25*F72</f>
        <v>48.5</v>
      </c>
      <c r="J72" s="8">
        <v>36</v>
      </c>
      <c r="K72" s="8">
        <f t="shared" si="11"/>
        <v>36</v>
      </c>
      <c r="L72" s="16">
        <v>33</v>
      </c>
      <c r="M72" s="16"/>
      <c r="N72" s="16"/>
      <c r="O72" s="8">
        <v>69</v>
      </c>
      <c r="P72" s="11">
        <f t="shared" si="12"/>
        <v>0.70289855072463769</v>
      </c>
      <c r="Q72" s="11">
        <f t="shared" si="13"/>
        <v>1.3472222222222223</v>
      </c>
      <c r="R72" s="12">
        <f t="shared" si="14"/>
        <v>726000</v>
      </c>
      <c r="S72" s="8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</row>
    <row r="73" spans="1:30" ht="12.75" customHeight="1" x14ac:dyDescent="0.25">
      <c r="A73" s="7">
        <v>46023</v>
      </c>
      <c r="B73" s="8" t="s">
        <v>88</v>
      </c>
      <c r="C73" s="8" t="s">
        <v>89</v>
      </c>
      <c r="D73" s="8" t="s">
        <v>50</v>
      </c>
      <c r="E73" s="8" t="s">
        <v>19</v>
      </c>
      <c r="F73" s="8">
        <v>9</v>
      </c>
      <c r="G73" s="9">
        <v>4.66</v>
      </c>
      <c r="H73" s="9">
        <v>1</v>
      </c>
      <c r="I73" s="10">
        <f>(G73*F73)+0.25*F73</f>
        <v>44.19</v>
      </c>
      <c r="J73" s="8">
        <v>49</v>
      </c>
      <c r="K73" s="8">
        <f t="shared" si="11"/>
        <v>103.5</v>
      </c>
      <c r="L73" s="16">
        <v>5.5</v>
      </c>
      <c r="M73" s="16"/>
      <c r="N73" s="16"/>
      <c r="O73" s="8">
        <v>109</v>
      </c>
      <c r="P73" s="11">
        <f t="shared" si="12"/>
        <v>0.40541284403669725</v>
      </c>
      <c r="Q73" s="11">
        <f t="shared" si="13"/>
        <v>0.4269565217391304</v>
      </c>
      <c r="R73" s="12">
        <f t="shared" si="14"/>
        <v>121000</v>
      </c>
      <c r="S73" s="8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</row>
    <row r="74" spans="1:30" ht="12.75" customHeight="1" x14ac:dyDescent="0.25">
      <c r="A74" s="7">
        <v>46054</v>
      </c>
      <c r="B74" s="8" t="s">
        <v>87</v>
      </c>
      <c r="C74" s="8" t="s">
        <v>25</v>
      </c>
      <c r="D74" s="8" t="s">
        <v>51</v>
      </c>
      <c r="E74" s="8" t="s">
        <v>19</v>
      </c>
      <c r="F74" s="8">
        <v>23</v>
      </c>
      <c r="G74" s="9"/>
      <c r="H74" s="9">
        <v>1</v>
      </c>
      <c r="I74" s="10">
        <v>52</v>
      </c>
      <c r="J74" s="8">
        <v>56</v>
      </c>
      <c r="K74" s="8">
        <f t="shared" si="11"/>
        <v>87</v>
      </c>
      <c r="L74" s="8">
        <v>76</v>
      </c>
      <c r="M74" s="8"/>
      <c r="N74" s="8"/>
      <c r="O74" s="8">
        <v>101</v>
      </c>
      <c r="P74" s="11">
        <f t="shared" si="12"/>
        <v>0.51485148514851486</v>
      </c>
      <c r="Q74" s="11">
        <f t="shared" si="13"/>
        <v>0.5977011494252874</v>
      </c>
      <c r="R74" s="12">
        <f t="shared" si="14"/>
        <v>1672000</v>
      </c>
      <c r="S74" s="8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</row>
    <row r="75" spans="1:30" ht="12.75" customHeight="1" x14ac:dyDescent="0.25">
      <c r="A75" s="7">
        <v>46054</v>
      </c>
      <c r="B75" s="8" t="s">
        <v>87</v>
      </c>
      <c r="C75" s="8" t="s">
        <v>25</v>
      </c>
      <c r="D75" s="8" t="s">
        <v>26</v>
      </c>
      <c r="E75" s="8" t="s">
        <v>19</v>
      </c>
      <c r="F75" s="8">
        <v>29</v>
      </c>
      <c r="G75" s="9"/>
      <c r="H75" s="9">
        <v>1</v>
      </c>
      <c r="I75" s="10">
        <v>123</v>
      </c>
      <c r="J75" s="8">
        <v>168</v>
      </c>
      <c r="K75" s="8">
        <f t="shared" si="11"/>
        <v>177</v>
      </c>
      <c r="L75" s="8">
        <v>32</v>
      </c>
      <c r="M75" s="8"/>
      <c r="N75" s="8"/>
      <c r="O75" s="8">
        <v>191</v>
      </c>
      <c r="P75" s="11">
        <f t="shared" si="12"/>
        <v>0.64397905759162299</v>
      </c>
      <c r="Q75" s="11">
        <f t="shared" si="13"/>
        <v>0.69491525423728817</v>
      </c>
      <c r="R75" s="12">
        <f t="shared" si="14"/>
        <v>704000</v>
      </c>
      <c r="S75" s="8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</row>
    <row r="76" spans="1:30" ht="12.75" customHeight="1" x14ac:dyDescent="0.25">
      <c r="A76" s="7">
        <v>46054</v>
      </c>
      <c r="B76" s="8" t="s">
        <v>87</v>
      </c>
      <c r="C76" s="8" t="s">
        <v>25</v>
      </c>
      <c r="D76" s="8" t="s">
        <v>27</v>
      </c>
      <c r="E76" s="8" t="s">
        <v>19</v>
      </c>
      <c r="F76" s="8">
        <v>16</v>
      </c>
      <c r="G76" s="9"/>
      <c r="H76" s="9">
        <v>1</v>
      </c>
      <c r="I76" s="10">
        <v>104</v>
      </c>
      <c r="J76" s="8">
        <v>154</v>
      </c>
      <c r="K76" s="8">
        <f t="shared" si="11"/>
        <v>164</v>
      </c>
      <c r="L76" s="8">
        <v>14</v>
      </c>
      <c r="M76" s="8"/>
      <c r="N76" s="8"/>
      <c r="O76" s="8">
        <v>158</v>
      </c>
      <c r="P76" s="11">
        <f t="shared" si="12"/>
        <v>0.65822784810126578</v>
      </c>
      <c r="Q76" s="11">
        <f t="shared" si="13"/>
        <v>0.63414634146341464</v>
      </c>
      <c r="R76" s="12">
        <f t="shared" si="14"/>
        <v>308000</v>
      </c>
      <c r="S76" s="8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</row>
    <row r="77" spans="1:30" ht="12.75" customHeight="1" x14ac:dyDescent="0.25">
      <c r="A77" s="7">
        <v>46054</v>
      </c>
      <c r="B77" s="8" t="s">
        <v>87</v>
      </c>
      <c r="C77" s="8" t="s">
        <v>25</v>
      </c>
      <c r="D77" s="8" t="s">
        <v>28</v>
      </c>
      <c r="E77" s="8" t="s">
        <v>19</v>
      </c>
      <c r="F77" s="8">
        <v>14</v>
      </c>
      <c r="G77" s="9"/>
      <c r="H77" s="9">
        <v>1</v>
      </c>
      <c r="I77" s="10">
        <v>91</v>
      </c>
      <c r="J77" s="8">
        <v>125</v>
      </c>
      <c r="K77" s="8">
        <f t="shared" si="11"/>
        <v>129</v>
      </c>
      <c r="L77" s="8">
        <v>18</v>
      </c>
      <c r="M77" s="8"/>
      <c r="N77" s="8"/>
      <c r="O77" s="8">
        <v>139</v>
      </c>
      <c r="P77" s="11">
        <f t="shared" si="12"/>
        <v>0.65467625899280579</v>
      </c>
      <c r="Q77" s="11">
        <f t="shared" si="13"/>
        <v>0.70542635658914732</v>
      </c>
      <c r="R77" s="12">
        <f t="shared" si="14"/>
        <v>396000</v>
      </c>
      <c r="S77" s="8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</row>
    <row r="78" spans="1:30" ht="12.75" customHeight="1" x14ac:dyDescent="0.25">
      <c r="A78" s="7">
        <v>46054</v>
      </c>
      <c r="B78" s="8" t="s">
        <v>87</v>
      </c>
      <c r="C78" s="8" t="s">
        <v>25</v>
      </c>
      <c r="D78" s="8" t="s">
        <v>29</v>
      </c>
      <c r="E78" s="8" t="s">
        <v>19</v>
      </c>
      <c r="F78" s="8">
        <v>24</v>
      </c>
      <c r="G78" s="9"/>
      <c r="H78" s="9">
        <v>1</v>
      </c>
      <c r="I78" s="10">
        <v>78</v>
      </c>
      <c r="J78" s="8">
        <v>104</v>
      </c>
      <c r="K78" s="8">
        <f t="shared" si="11"/>
        <v>116</v>
      </c>
      <c r="L78" s="8">
        <v>31</v>
      </c>
      <c r="M78" s="8"/>
      <c r="N78" s="8"/>
      <c r="O78" s="8">
        <v>123</v>
      </c>
      <c r="P78" s="11">
        <f t="shared" si="12"/>
        <v>0.63414634146341464</v>
      </c>
      <c r="Q78" s="11">
        <f t="shared" si="13"/>
        <v>0.67241379310344829</v>
      </c>
      <c r="R78" s="12">
        <f t="shared" si="14"/>
        <v>682000</v>
      </c>
      <c r="S78" s="8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</row>
    <row r="79" spans="1:30" ht="12.75" customHeight="1" x14ac:dyDescent="0.25">
      <c r="A79" s="7">
        <v>46054</v>
      </c>
      <c r="B79" s="8" t="s">
        <v>87</v>
      </c>
      <c r="C79" s="8" t="s">
        <v>25</v>
      </c>
      <c r="D79" s="8" t="s">
        <v>30</v>
      </c>
      <c r="E79" s="8" t="s">
        <v>19</v>
      </c>
      <c r="F79" s="8">
        <v>27</v>
      </c>
      <c r="G79" s="9"/>
      <c r="H79" s="9">
        <v>1</v>
      </c>
      <c r="I79" s="10">
        <v>69</v>
      </c>
      <c r="J79" s="8">
        <v>81</v>
      </c>
      <c r="K79" s="8">
        <f t="shared" si="11"/>
        <v>89</v>
      </c>
      <c r="L79" s="8">
        <v>31</v>
      </c>
      <c r="M79" s="8"/>
      <c r="N79" s="8"/>
      <c r="O79" s="8">
        <v>120</v>
      </c>
      <c r="P79" s="11">
        <f t="shared" si="12"/>
        <v>0.57499999999999996</v>
      </c>
      <c r="Q79" s="11">
        <f t="shared" si="13"/>
        <v>0.7752808988764045</v>
      </c>
      <c r="R79" s="12">
        <f t="shared" si="14"/>
        <v>682000</v>
      </c>
      <c r="S79" s="8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</row>
    <row r="80" spans="1:30" ht="12.75" customHeight="1" x14ac:dyDescent="0.25">
      <c r="A80" s="7">
        <v>46054</v>
      </c>
      <c r="B80" s="8" t="s">
        <v>87</v>
      </c>
      <c r="C80" s="8" t="s">
        <v>25</v>
      </c>
      <c r="D80" s="8" t="s">
        <v>31</v>
      </c>
      <c r="E80" s="8" t="s">
        <v>19</v>
      </c>
      <c r="F80" s="8">
        <v>39</v>
      </c>
      <c r="G80" s="9"/>
      <c r="H80" s="9">
        <v>1</v>
      </c>
      <c r="I80" s="10">
        <v>94</v>
      </c>
      <c r="J80" s="8">
        <v>120</v>
      </c>
      <c r="K80" s="8">
        <f t="shared" si="11"/>
        <v>127</v>
      </c>
      <c r="L80" s="8">
        <v>51</v>
      </c>
      <c r="M80" s="8"/>
      <c r="N80" s="8"/>
      <c r="O80" s="8">
        <v>164</v>
      </c>
      <c r="P80" s="11">
        <f t="shared" si="12"/>
        <v>0.57317073170731703</v>
      </c>
      <c r="Q80" s="11">
        <f t="shared" si="13"/>
        <v>0.74015748031496065</v>
      </c>
      <c r="R80" s="12">
        <f t="shared" si="14"/>
        <v>1122000</v>
      </c>
      <c r="S80" s="8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</row>
    <row r="81" spans="1:30" ht="12.75" customHeight="1" x14ac:dyDescent="0.25">
      <c r="A81" s="7">
        <v>46054</v>
      </c>
      <c r="B81" s="8" t="s">
        <v>87</v>
      </c>
      <c r="C81" s="8" t="s">
        <v>25</v>
      </c>
      <c r="D81" s="8" t="s">
        <v>32</v>
      </c>
      <c r="E81" s="8" t="s">
        <v>21</v>
      </c>
      <c r="F81" s="8">
        <v>11</v>
      </c>
      <c r="G81" s="9"/>
      <c r="H81" s="9">
        <v>2</v>
      </c>
      <c r="I81" s="10">
        <v>217</v>
      </c>
      <c r="J81" s="8">
        <v>247</v>
      </c>
      <c r="K81" s="8">
        <f t="shared" si="11"/>
        <v>253</v>
      </c>
      <c r="L81" s="8">
        <v>47</v>
      </c>
      <c r="M81" s="8"/>
      <c r="N81" s="8"/>
      <c r="O81" s="8">
        <v>288</v>
      </c>
      <c r="P81" s="11">
        <f t="shared" si="12"/>
        <v>0.75347222222222221</v>
      </c>
      <c r="Q81" s="11">
        <f t="shared" si="13"/>
        <v>0.85770750988142297</v>
      </c>
      <c r="R81" s="12">
        <f t="shared" si="14"/>
        <v>1034000</v>
      </c>
      <c r="S81" s="8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</row>
    <row r="82" spans="1:30" ht="12.75" customHeight="1" x14ac:dyDescent="0.25">
      <c r="A82" s="7">
        <v>46054</v>
      </c>
      <c r="B82" s="8" t="s">
        <v>87</v>
      </c>
      <c r="C82" s="8" t="s">
        <v>25</v>
      </c>
      <c r="D82" s="8" t="s">
        <v>36</v>
      </c>
      <c r="E82" s="8" t="s">
        <v>21</v>
      </c>
      <c r="F82" s="8">
        <v>19</v>
      </c>
      <c r="G82" s="9"/>
      <c r="H82" s="9">
        <v>2</v>
      </c>
      <c r="I82" s="10">
        <v>267</v>
      </c>
      <c r="J82" s="8">
        <v>258</v>
      </c>
      <c r="K82" s="8">
        <f t="shared" si="11"/>
        <v>259</v>
      </c>
      <c r="L82" s="8">
        <v>124</v>
      </c>
      <c r="M82" s="8"/>
      <c r="N82" s="8"/>
      <c r="O82" s="8">
        <v>381</v>
      </c>
      <c r="P82" s="11">
        <f t="shared" si="12"/>
        <v>0.70078740157480313</v>
      </c>
      <c r="Q82" s="11">
        <f t="shared" si="13"/>
        <v>1.0308880308880308</v>
      </c>
      <c r="R82" s="12">
        <f t="shared" si="14"/>
        <v>2728000</v>
      </c>
      <c r="S82" s="8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</row>
    <row r="83" spans="1:30" ht="12.75" customHeight="1" x14ac:dyDescent="0.25">
      <c r="A83" s="7">
        <v>46054</v>
      </c>
      <c r="B83" s="8" t="s">
        <v>33</v>
      </c>
      <c r="C83" s="8" t="s">
        <v>34</v>
      </c>
      <c r="D83" s="8" t="s">
        <v>35</v>
      </c>
      <c r="E83" s="8" t="s">
        <v>19</v>
      </c>
      <c r="F83" s="8">
        <v>219</v>
      </c>
      <c r="G83" s="9"/>
      <c r="H83" s="9">
        <v>6</v>
      </c>
      <c r="I83" s="10">
        <v>1094</v>
      </c>
      <c r="J83" s="8">
        <v>571</v>
      </c>
      <c r="K83" s="8">
        <f t="shared" si="11"/>
        <v>1089</v>
      </c>
      <c r="L83" s="8">
        <v>41</v>
      </c>
      <c r="M83" s="8"/>
      <c r="N83" s="8"/>
      <c r="O83" s="8">
        <v>1130</v>
      </c>
      <c r="P83" s="11">
        <f t="shared" si="12"/>
        <v>0.96814159292035395</v>
      </c>
      <c r="Q83" s="11">
        <f t="shared" si="13"/>
        <v>1.0045913682277319</v>
      </c>
      <c r="R83" s="12">
        <f t="shared" si="14"/>
        <v>902000</v>
      </c>
      <c r="S83" s="8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</row>
    <row r="84" spans="1:30" ht="12.75" customHeight="1" x14ac:dyDescent="0.25">
      <c r="A84" s="7">
        <v>46054</v>
      </c>
      <c r="B84" s="8" t="s">
        <v>33</v>
      </c>
      <c r="C84" s="8" t="s">
        <v>46</v>
      </c>
      <c r="D84" s="8" t="s">
        <v>47</v>
      </c>
      <c r="E84" s="8" t="s">
        <v>21</v>
      </c>
      <c r="F84" s="8">
        <v>162</v>
      </c>
      <c r="G84" s="9"/>
      <c r="H84" s="9">
        <v>8</v>
      </c>
      <c r="I84" s="10">
        <v>817</v>
      </c>
      <c r="J84" s="8">
        <v>898</v>
      </c>
      <c r="K84" s="8">
        <f t="shared" si="11"/>
        <v>996</v>
      </c>
      <c r="L84" s="8">
        <v>703</v>
      </c>
      <c r="M84" s="8"/>
      <c r="N84" s="8"/>
      <c r="O84" s="8">
        <v>1503</v>
      </c>
      <c r="P84" s="11">
        <f t="shared" si="12"/>
        <v>0.54357950765136398</v>
      </c>
      <c r="Q84" s="11">
        <f t="shared" si="13"/>
        <v>0.82028112449799195</v>
      </c>
      <c r="R84" s="12">
        <f t="shared" si="14"/>
        <v>15466000</v>
      </c>
      <c r="S84" s="8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</row>
    <row r="85" spans="1:30" ht="12.75" customHeight="1" x14ac:dyDescent="0.25">
      <c r="A85" s="7">
        <v>46054</v>
      </c>
      <c r="B85" s="8" t="s">
        <v>88</v>
      </c>
      <c r="C85" s="8" t="s">
        <v>89</v>
      </c>
      <c r="D85" s="8" t="s">
        <v>37</v>
      </c>
      <c r="E85" s="8" t="s">
        <v>19</v>
      </c>
      <c r="F85" s="8">
        <v>24</v>
      </c>
      <c r="G85" s="9">
        <v>9.1999999999999993</v>
      </c>
      <c r="H85" s="9">
        <v>2</v>
      </c>
      <c r="I85" s="10">
        <f t="shared" ref="I85:I92" si="15">(G85*F85)+0.25*F85</f>
        <v>226.79999999999998</v>
      </c>
      <c r="J85" s="8">
        <v>226</v>
      </c>
      <c r="K85" s="8">
        <f t="shared" si="11"/>
        <v>254</v>
      </c>
      <c r="L85" s="16">
        <v>72</v>
      </c>
      <c r="M85" s="16"/>
      <c r="N85" s="16"/>
      <c r="O85" s="8">
        <v>326</v>
      </c>
      <c r="P85" s="11">
        <f t="shared" si="12"/>
        <v>0.69570552147239262</v>
      </c>
      <c r="Q85" s="11">
        <f t="shared" si="13"/>
        <v>0.8929133858267716</v>
      </c>
      <c r="R85" s="12">
        <f t="shared" si="14"/>
        <v>1584000</v>
      </c>
      <c r="S85" s="8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</row>
    <row r="86" spans="1:30" ht="12.75" customHeight="1" x14ac:dyDescent="0.25">
      <c r="A86" s="7">
        <v>46054</v>
      </c>
      <c r="B86" s="8" t="s">
        <v>88</v>
      </c>
      <c r="C86" s="8" t="s">
        <v>89</v>
      </c>
      <c r="D86" s="8" t="s">
        <v>38</v>
      </c>
      <c r="E86" s="8" t="s">
        <v>19</v>
      </c>
      <c r="F86" s="8">
        <v>28</v>
      </c>
      <c r="G86" s="9">
        <v>7.61</v>
      </c>
      <c r="H86" s="9">
        <v>2</v>
      </c>
      <c r="I86" s="10">
        <f t="shared" si="15"/>
        <v>220.08</v>
      </c>
      <c r="J86" s="8">
        <v>316</v>
      </c>
      <c r="K86" s="8">
        <f t="shared" si="11"/>
        <v>326</v>
      </c>
      <c r="L86" s="16">
        <v>62</v>
      </c>
      <c r="M86" s="16"/>
      <c r="N86" s="16"/>
      <c r="O86" s="8">
        <v>368</v>
      </c>
      <c r="P86" s="11">
        <f t="shared" si="12"/>
        <v>0.59804347826086957</v>
      </c>
      <c r="Q86" s="11">
        <f t="shared" si="13"/>
        <v>0.67509202453987738</v>
      </c>
      <c r="R86" s="12">
        <f t="shared" si="14"/>
        <v>1364000</v>
      </c>
      <c r="S86" s="8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</row>
    <row r="87" spans="1:30" ht="12.75" customHeight="1" x14ac:dyDescent="0.25">
      <c r="A87" s="7">
        <v>46054</v>
      </c>
      <c r="B87" s="8" t="s">
        <v>88</v>
      </c>
      <c r="C87" s="8" t="s">
        <v>89</v>
      </c>
      <c r="D87" s="8" t="s">
        <v>39</v>
      </c>
      <c r="E87" s="8" t="s">
        <v>19</v>
      </c>
      <c r="F87" s="8">
        <v>24</v>
      </c>
      <c r="G87" s="9">
        <v>12.98</v>
      </c>
      <c r="H87" s="9">
        <v>3</v>
      </c>
      <c r="I87" s="10">
        <f t="shared" si="15"/>
        <v>317.52</v>
      </c>
      <c r="J87" s="8">
        <v>487</v>
      </c>
      <c r="K87" s="8">
        <f t="shared" si="11"/>
        <v>505</v>
      </c>
      <c r="L87" s="16">
        <v>67</v>
      </c>
      <c r="M87" s="16"/>
      <c r="N87" s="16"/>
      <c r="O87" s="8">
        <v>536</v>
      </c>
      <c r="P87" s="11">
        <f t="shared" si="12"/>
        <v>0.59238805970149255</v>
      </c>
      <c r="Q87" s="11">
        <f t="shared" si="13"/>
        <v>0.62875247524752476</v>
      </c>
      <c r="R87" s="12">
        <f t="shared" si="14"/>
        <v>1474000</v>
      </c>
      <c r="S87" s="8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</row>
    <row r="88" spans="1:30" ht="12.75" customHeight="1" x14ac:dyDescent="0.25">
      <c r="A88" s="7">
        <v>46054</v>
      </c>
      <c r="B88" s="8" t="s">
        <v>88</v>
      </c>
      <c r="C88" s="8" t="s">
        <v>89</v>
      </c>
      <c r="D88" s="8" t="s">
        <v>40</v>
      </c>
      <c r="E88" s="8" t="s">
        <v>19</v>
      </c>
      <c r="F88" s="8">
        <v>22</v>
      </c>
      <c r="G88" s="9">
        <v>4.6900000000000004</v>
      </c>
      <c r="H88" s="9">
        <v>1</v>
      </c>
      <c r="I88" s="10">
        <f t="shared" si="15"/>
        <v>108.68</v>
      </c>
      <c r="J88" s="8">
        <v>181</v>
      </c>
      <c r="K88" s="8">
        <f t="shared" si="11"/>
        <v>196</v>
      </c>
      <c r="L88" s="16">
        <v>2</v>
      </c>
      <c r="M88" s="16"/>
      <c r="N88" s="16"/>
      <c r="O88" s="8">
        <v>198</v>
      </c>
      <c r="P88" s="11">
        <f t="shared" si="12"/>
        <v>0.54888888888888887</v>
      </c>
      <c r="Q88" s="11">
        <f t="shared" si="13"/>
        <v>0.55448979591836733</v>
      </c>
      <c r="R88" s="12">
        <f t="shared" si="14"/>
        <v>44000</v>
      </c>
      <c r="S88" s="8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</row>
    <row r="89" spans="1:30" ht="12.75" customHeight="1" x14ac:dyDescent="0.25">
      <c r="A89" s="7">
        <v>46054</v>
      </c>
      <c r="B89" s="8" t="s">
        <v>88</v>
      </c>
      <c r="C89" s="8" t="s">
        <v>89</v>
      </c>
      <c r="D89" s="8" t="s">
        <v>41</v>
      </c>
      <c r="E89" s="8" t="s">
        <v>19</v>
      </c>
      <c r="F89" s="8">
        <v>21</v>
      </c>
      <c r="G89" s="9">
        <v>4.6100000000000003</v>
      </c>
      <c r="H89" s="9">
        <v>1</v>
      </c>
      <c r="I89" s="10">
        <f t="shared" si="15"/>
        <v>102.06</v>
      </c>
      <c r="J89" s="8">
        <v>144</v>
      </c>
      <c r="K89" s="8">
        <f t="shared" si="11"/>
        <v>150</v>
      </c>
      <c r="L89" s="16">
        <v>33</v>
      </c>
      <c r="M89" s="16"/>
      <c r="N89" s="16"/>
      <c r="O89" s="8">
        <v>171</v>
      </c>
      <c r="P89" s="11">
        <f t="shared" si="12"/>
        <v>0.59684210526315795</v>
      </c>
      <c r="Q89" s="11">
        <f t="shared" si="13"/>
        <v>0.6804</v>
      </c>
      <c r="R89" s="12">
        <f t="shared" si="14"/>
        <v>726000</v>
      </c>
      <c r="S89" s="8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</row>
    <row r="90" spans="1:30" ht="12.75" customHeight="1" x14ac:dyDescent="0.25">
      <c r="A90" s="7">
        <v>46054</v>
      </c>
      <c r="B90" s="8" t="s">
        <v>88</v>
      </c>
      <c r="C90" s="8" t="s">
        <v>89</v>
      </c>
      <c r="D90" s="8" t="s">
        <v>42</v>
      </c>
      <c r="E90" s="8" t="s">
        <v>19</v>
      </c>
      <c r="F90" s="8">
        <v>16</v>
      </c>
      <c r="G90" s="9">
        <v>4.5</v>
      </c>
      <c r="H90" s="9">
        <v>1</v>
      </c>
      <c r="I90" s="10">
        <f t="shared" si="15"/>
        <v>76</v>
      </c>
      <c r="J90" s="8">
        <v>147</v>
      </c>
      <c r="K90" s="8">
        <f t="shared" si="11"/>
        <v>166</v>
      </c>
      <c r="L90" s="16">
        <v>34</v>
      </c>
      <c r="M90" s="16"/>
      <c r="N90" s="16"/>
      <c r="O90" s="8">
        <v>162</v>
      </c>
      <c r="P90" s="11">
        <f t="shared" si="12"/>
        <v>0.46913580246913578</v>
      </c>
      <c r="Q90" s="11">
        <f t="shared" si="13"/>
        <v>0.45783132530120479</v>
      </c>
      <c r="R90" s="12">
        <f t="shared" si="14"/>
        <v>748000</v>
      </c>
      <c r="S90" s="8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</row>
    <row r="91" spans="1:30" ht="12.75" customHeight="1" x14ac:dyDescent="0.25">
      <c r="A91" s="7">
        <v>46054</v>
      </c>
      <c r="B91" s="8" t="s">
        <v>88</v>
      </c>
      <c r="C91" s="8" t="s">
        <v>89</v>
      </c>
      <c r="D91" s="8" t="s">
        <v>43</v>
      </c>
      <c r="E91" s="8" t="s">
        <v>19</v>
      </c>
      <c r="F91" s="8">
        <v>19</v>
      </c>
      <c r="G91" s="9">
        <v>9.1999999999999993</v>
      </c>
      <c r="H91" s="9">
        <v>2</v>
      </c>
      <c r="I91" s="10">
        <f t="shared" si="15"/>
        <v>179.54999999999998</v>
      </c>
      <c r="J91" s="8">
        <v>285</v>
      </c>
      <c r="K91" s="8">
        <f t="shared" si="11"/>
        <v>383</v>
      </c>
      <c r="L91" s="16">
        <v>104</v>
      </c>
      <c r="M91" s="16"/>
      <c r="N91" s="16"/>
      <c r="O91" s="8">
        <v>291</v>
      </c>
      <c r="P91" s="11">
        <f t="shared" si="12"/>
        <v>0.61701030927835043</v>
      </c>
      <c r="Q91" s="11">
        <f t="shared" si="13"/>
        <v>0.46879895561357698</v>
      </c>
      <c r="R91" s="12">
        <f t="shared" si="14"/>
        <v>2288000</v>
      </c>
      <c r="S91" s="8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</row>
    <row r="92" spans="1:30" ht="12.75" customHeight="1" x14ac:dyDescent="0.25">
      <c r="A92" s="7">
        <v>46054</v>
      </c>
      <c r="B92" s="8" t="s">
        <v>88</v>
      </c>
      <c r="C92" s="8" t="s">
        <v>89</v>
      </c>
      <c r="D92" s="8" t="s">
        <v>44</v>
      </c>
      <c r="E92" s="8" t="s">
        <v>19</v>
      </c>
      <c r="F92" s="8">
        <v>24</v>
      </c>
      <c r="G92" s="9">
        <f>20736/3600</f>
        <v>5.76</v>
      </c>
      <c r="H92" s="9">
        <v>1</v>
      </c>
      <c r="I92" s="10">
        <f t="shared" si="15"/>
        <v>144.24</v>
      </c>
      <c r="J92" s="8">
        <v>158</v>
      </c>
      <c r="K92" s="8">
        <f t="shared" si="11"/>
        <v>159</v>
      </c>
      <c r="L92" s="16">
        <v>33</v>
      </c>
      <c r="M92" s="16"/>
      <c r="N92" s="16"/>
      <c r="O92" s="8">
        <v>190</v>
      </c>
      <c r="P92" s="11">
        <f t="shared" si="12"/>
        <v>0.75915789473684214</v>
      </c>
      <c r="Q92" s="11">
        <f t="shared" si="13"/>
        <v>0.9071698113207548</v>
      </c>
      <c r="R92" s="12">
        <f t="shared" si="14"/>
        <v>726000</v>
      </c>
      <c r="S92" s="8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</row>
    <row r="93" spans="1:30" ht="12.75" customHeight="1" x14ac:dyDescent="0.25">
      <c r="A93" s="7">
        <v>46054</v>
      </c>
      <c r="B93" s="8" t="s">
        <v>33</v>
      </c>
      <c r="C93" s="8" t="s">
        <v>61</v>
      </c>
      <c r="D93" s="8" t="s">
        <v>62</v>
      </c>
      <c r="E93" s="8" t="s">
        <v>19</v>
      </c>
      <c r="F93" s="8">
        <v>204</v>
      </c>
      <c r="G93" s="9"/>
      <c r="H93" s="9">
        <v>3</v>
      </c>
      <c r="I93" s="10">
        <v>628</v>
      </c>
      <c r="J93" s="8">
        <v>639</v>
      </c>
      <c r="K93" s="8">
        <f t="shared" si="11"/>
        <v>732</v>
      </c>
      <c r="L93" s="8">
        <v>39</v>
      </c>
      <c r="M93" s="8"/>
      <c r="N93" s="8"/>
      <c r="O93" s="8">
        <v>585</v>
      </c>
      <c r="P93" s="11">
        <f t="shared" si="12"/>
        <v>1.0735042735042735</v>
      </c>
      <c r="Q93" s="11">
        <f t="shared" si="13"/>
        <v>0.85792349726775952</v>
      </c>
      <c r="R93" s="12">
        <f t="shared" si="14"/>
        <v>858000</v>
      </c>
      <c r="S93" s="8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</row>
    <row r="94" spans="1:30" ht="12.75" customHeight="1" x14ac:dyDescent="0.25">
      <c r="A94" s="7">
        <v>46054</v>
      </c>
      <c r="B94" s="8" t="s">
        <v>33</v>
      </c>
      <c r="C94" s="8" t="s">
        <v>63</v>
      </c>
      <c r="D94" s="8" t="s">
        <v>64</v>
      </c>
      <c r="E94" s="14" t="s">
        <v>19</v>
      </c>
      <c r="F94" s="8">
        <v>52</v>
      </c>
      <c r="G94" s="9"/>
      <c r="H94" s="9">
        <v>4</v>
      </c>
      <c r="I94" s="10">
        <v>569</v>
      </c>
      <c r="J94" s="8">
        <v>626</v>
      </c>
      <c r="K94" s="8">
        <f t="shared" si="11"/>
        <v>670</v>
      </c>
      <c r="L94" s="8">
        <v>50</v>
      </c>
      <c r="M94" s="8"/>
      <c r="N94" s="8"/>
      <c r="O94" s="8">
        <v>720</v>
      </c>
      <c r="P94" s="11">
        <f t="shared" si="12"/>
        <v>0.79027777777777775</v>
      </c>
      <c r="Q94" s="11">
        <f t="shared" si="13"/>
        <v>0.84925373134328364</v>
      </c>
      <c r="R94" s="12">
        <f t="shared" si="14"/>
        <v>1100000</v>
      </c>
      <c r="S94" s="8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</row>
    <row r="95" spans="1:30" ht="12.75" customHeight="1" x14ac:dyDescent="0.25">
      <c r="A95" s="7">
        <v>46054</v>
      </c>
      <c r="B95" s="8" t="s">
        <v>33</v>
      </c>
      <c r="C95" s="8" t="s">
        <v>63</v>
      </c>
      <c r="D95" s="8" t="s">
        <v>65</v>
      </c>
      <c r="E95" s="14" t="s">
        <v>19</v>
      </c>
      <c r="F95" s="8">
        <v>64</v>
      </c>
      <c r="G95" s="9"/>
      <c r="H95" s="9">
        <v>4</v>
      </c>
      <c r="I95" s="10">
        <v>664</v>
      </c>
      <c r="J95" s="8">
        <v>583</v>
      </c>
      <c r="K95" s="8">
        <f t="shared" si="11"/>
        <v>593</v>
      </c>
      <c r="L95" s="8">
        <v>47</v>
      </c>
      <c r="M95" s="8"/>
      <c r="N95" s="8"/>
      <c r="O95" s="8">
        <v>640</v>
      </c>
      <c r="P95" s="11">
        <f t="shared" si="12"/>
        <v>1.0375000000000001</v>
      </c>
      <c r="Q95" s="11">
        <f t="shared" si="13"/>
        <v>1.1197301854974704</v>
      </c>
      <c r="R95" s="12">
        <f t="shared" si="14"/>
        <v>1034000</v>
      </c>
      <c r="S95" s="8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</row>
    <row r="96" spans="1:30" ht="12.75" customHeight="1" x14ac:dyDescent="0.25">
      <c r="A96" s="7">
        <v>46054</v>
      </c>
      <c r="B96" s="8" t="s">
        <v>33</v>
      </c>
      <c r="C96" s="8" t="s">
        <v>63</v>
      </c>
      <c r="D96" s="8" t="s">
        <v>66</v>
      </c>
      <c r="E96" s="14" t="s">
        <v>19</v>
      </c>
      <c r="F96" s="8">
        <v>55</v>
      </c>
      <c r="G96" s="9"/>
      <c r="H96" s="9">
        <v>4</v>
      </c>
      <c r="I96" s="10">
        <v>561</v>
      </c>
      <c r="J96" s="8">
        <v>546</v>
      </c>
      <c r="K96" s="8">
        <f t="shared" si="11"/>
        <v>585</v>
      </c>
      <c r="L96" s="8">
        <v>49</v>
      </c>
      <c r="M96" s="8"/>
      <c r="N96" s="8"/>
      <c r="O96" s="8">
        <v>634</v>
      </c>
      <c r="P96" s="11">
        <f t="shared" si="12"/>
        <v>0.8848580441640379</v>
      </c>
      <c r="Q96" s="11">
        <f t="shared" si="13"/>
        <v>0.95897435897435901</v>
      </c>
      <c r="R96" s="12">
        <f t="shared" si="14"/>
        <v>1078000</v>
      </c>
      <c r="S96" s="8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</row>
    <row r="97" spans="1:30" ht="12.75" customHeight="1" x14ac:dyDescent="0.25">
      <c r="A97" s="7">
        <v>46054</v>
      </c>
      <c r="B97" s="8" t="s">
        <v>33</v>
      </c>
      <c r="C97" s="8" t="s">
        <v>63</v>
      </c>
      <c r="D97" s="8" t="s">
        <v>85</v>
      </c>
      <c r="E97" s="14" t="s">
        <v>19</v>
      </c>
      <c r="F97" s="8">
        <v>41</v>
      </c>
      <c r="G97" s="9"/>
      <c r="H97" s="9">
        <v>2</v>
      </c>
      <c r="I97" s="10">
        <v>212</v>
      </c>
      <c r="J97" s="8">
        <v>190</v>
      </c>
      <c r="K97" s="8">
        <f t="shared" si="11"/>
        <v>270</v>
      </c>
      <c r="L97" s="8">
        <v>26</v>
      </c>
      <c r="M97" s="8"/>
      <c r="N97" s="8"/>
      <c r="O97" s="8">
        <v>296</v>
      </c>
      <c r="P97" s="11">
        <f t="shared" si="12"/>
        <v>0.71621621621621623</v>
      </c>
      <c r="Q97" s="11">
        <f t="shared" si="13"/>
        <v>0.78518518518518521</v>
      </c>
      <c r="R97" s="12">
        <f t="shared" si="14"/>
        <v>572000</v>
      </c>
      <c r="S97" s="8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</row>
    <row r="98" spans="1:30" ht="12.75" customHeight="1" x14ac:dyDescent="0.25">
      <c r="A98" s="7">
        <v>46054</v>
      </c>
      <c r="B98" s="8" t="s">
        <v>88</v>
      </c>
      <c r="C98" s="8" t="s">
        <v>89</v>
      </c>
      <c r="D98" s="8" t="s">
        <v>45</v>
      </c>
      <c r="E98" s="8" t="s">
        <v>19</v>
      </c>
      <c r="F98" s="8">
        <v>23</v>
      </c>
      <c r="G98" s="9">
        <v>10.039999999999999</v>
      </c>
      <c r="H98" s="9">
        <v>2</v>
      </c>
      <c r="I98" s="10">
        <f>(G98*F98)+0.25*F98</f>
        <v>236.67</v>
      </c>
      <c r="J98" s="8">
        <v>254</v>
      </c>
      <c r="K98" s="8">
        <f t="shared" ref="K98:K129" si="16">J98+ABS(O98-(J98+L98))</f>
        <v>267</v>
      </c>
      <c r="L98" s="16">
        <v>207</v>
      </c>
      <c r="M98" s="16"/>
      <c r="N98" s="16"/>
      <c r="O98" s="8">
        <v>474</v>
      </c>
      <c r="P98" s="11">
        <f t="shared" ref="P98:P129" si="17">+I98/O98</f>
        <v>0.4993037974683544</v>
      </c>
      <c r="Q98" s="11">
        <f t="shared" ref="Q98:Q129" si="18">+I98/K98</f>
        <v>0.8864044943820224</v>
      </c>
      <c r="R98" s="12">
        <f t="shared" ref="R98:R129" si="19">+L98*22000</f>
        <v>4554000</v>
      </c>
      <c r="S98" s="8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</row>
    <row r="99" spans="1:30" ht="12.75" customHeight="1" x14ac:dyDescent="0.25">
      <c r="A99" s="7">
        <v>46054</v>
      </c>
      <c r="B99" s="8" t="s">
        <v>88</v>
      </c>
      <c r="C99" s="8" t="s">
        <v>89</v>
      </c>
      <c r="D99" s="8" t="s">
        <v>86</v>
      </c>
      <c r="E99" s="8" t="s">
        <v>21</v>
      </c>
      <c r="F99" s="8">
        <v>23</v>
      </c>
      <c r="G99" s="9">
        <v>8.98</v>
      </c>
      <c r="H99" s="9">
        <v>2</v>
      </c>
      <c r="I99" s="10">
        <f>(G99*F99)+0.25*F99</f>
        <v>212.29000000000002</v>
      </c>
      <c r="J99" s="8">
        <v>291</v>
      </c>
      <c r="K99" s="8">
        <f t="shared" si="16"/>
        <v>300</v>
      </c>
      <c r="L99" s="16">
        <v>101</v>
      </c>
      <c r="M99" s="16"/>
      <c r="N99" s="16"/>
      <c r="O99" s="8">
        <v>383</v>
      </c>
      <c r="P99" s="11">
        <f t="shared" si="17"/>
        <v>0.55428198433420373</v>
      </c>
      <c r="Q99" s="11">
        <f t="shared" si="18"/>
        <v>0.70763333333333345</v>
      </c>
      <c r="R99" s="12">
        <f t="shared" si="19"/>
        <v>2222000</v>
      </c>
      <c r="S99" s="8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</row>
    <row r="100" spans="1:30" ht="12.75" customHeight="1" x14ac:dyDescent="0.25">
      <c r="A100" s="7">
        <v>46054</v>
      </c>
      <c r="B100" s="8" t="s">
        <v>88</v>
      </c>
      <c r="C100" s="8" t="s">
        <v>89</v>
      </c>
      <c r="D100" s="8" t="s">
        <v>48</v>
      </c>
      <c r="E100" s="8" t="s">
        <v>19</v>
      </c>
      <c r="F100" s="8">
        <v>23</v>
      </c>
      <c r="G100" s="9">
        <v>4.33</v>
      </c>
      <c r="H100" s="9">
        <v>1</v>
      </c>
      <c r="I100" s="10">
        <f>(G100*F100)+0.25*F100</f>
        <v>105.34</v>
      </c>
      <c r="J100" s="8">
        <v>99</v>
      </c>
      <c r="K100" s="8">
        <f t="shared" si="16"/>
        <v>100</v>
      </c>
      <c r="L100" s="16">
        <v>103</v>
      </c>
      <c r="M100" s="16"/>
      <c r="N100" s="16"/>
      <c r="O100" s="8">
        <v>203</v>
      </c>
      <c r="P100" s="11">
        <f t="shared" si="17"/>
        <v>0.51891625615763548</v>
      </c>
      <c r="Q100" s="11">
        <f t="shared" si="18"/>
        <v>1.0534000000000001</v>
      </c>
      <c r="R100" s="12">
        <f t="shared" si="19"/>
        <v>2266000</v>
      </c>
      <c r="S100" s="8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</row>
    <row r="101" spans="1:30" ht="12.75" customHeight="1" x14ac:dyDescent="0.25">
      <c r="A101" s="7">
        <v>46054</v>
      </c>
      <c r="B101" s="8" t="s">
        <v>88</v>
      </c>
      <c r="C101" s="8" t="s">
        <v>89</v>
      </c>
      <c r="D101" s="8" t="s">
        <v>49</v>
      </c>
      <c r="E101" s="8" t="s">
        <v>19</v>
      </c>
      <c r="F101" s="8">
        <v>24</v>
      </c>
      <c r="G101" s="9">
        <v>4.5999999999999996</v>
      </c>
      <c r="H101" s="9">
        <v>1</v>
      </c>
      <c r="I101" s="10">
        <f>(G101*F101)+0.25*F101</f>
        <v>116.39999999999999</v>
      </c>
      <c r="J101" s="8">
        <v>115</v>
      </c>
      <c r="K101" s="8">
        <f t="shared" si="16"/>
        <v>133</v>
      </c>
      <c r="L101" s="16">
        <v>54</v>
      </c>
      <c r="M101" s="16"/>
      <c r="N101" s="16"/>
      <c r="O101" s="8">
        <v>151</v>
      </c>
      <c r="P101" s="11">
        <f t="shared" si="17"/>
        <v>0.7708609271523178</v>
      </c>
      <c r="Q101" s="11">
        <f t="shared" si="18"/>
        <v>0.87518796992481196</v>
      </c>
      <c r="R101" s="12">
        <f t="shared" si="19"/>
        <v>1188000</v>
      </c>
      <c r="S101" s="8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</row>
    <row r="102" spans="1:30" ht="12.75" customHeight="1" x14ac:dyDescent="0.25">
      <c r="A102" s="7">
        <v>46054</v>
      </c>
      <c r="B102" s="8" t="s">
        <v>88</v>
      </c>
      <c r="C102" s="8" t="s">
        <v>89</v>
      </c>
      <c r="D102" s="8" t="s">
        <v>50</v>
      </c>
      <c r="E102" s="8" t="s">
        <v>19</v>
      </c>
      <c r="F102" s="8">
        <v>25</v>
      </c>
      <c r="G102" s="9">
        <v>4.66</v>
      </c>
      <c r="H102" s="9">
        <v>1</v>
      </c>
      <c r="I102" s="10">
        <f>(G102*F102)+0.25*F102</f>
        <v>122.75</v>
      </c>
      <c r="J102" s="8">
        <v>133</v>
      </c>
      <c r="K102" s="8">
        <f t="shared" si="16"/>
        <v>142</v>
      </c>
      <c r="L102" s="16">
        <v>12</v>
      </c>
      <c r="M102" s="16"/>
      <c r="N102" s="16"/>
      <c r="O102" s="8">
        <v>154</v>
      </c>
      <c r="P102" s="11">
        <f t="shared" si="17"/>
        <v>0.79707792207792205</v>
      </c>
      <c r="Q102" s="11">
        <f t="shared" si="18"/>
        <v>0.86443661971830987</v>
      </c>
      <c r="R102" s="12">
        <f t="shared" si="19"/>
        <v>264000</v>
      </c>
      <c r="S102" s="8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</row>
    <row r="103" spans="1:30" ht="12.75" customHeight="1" x14ac:dyDescent="0.25">
      <c r="A103" s="7">
        <v>46082</v>
      </c>
      <c r="B103" s="8" t="s">
        <v>87</v>
      </c>
      <c r="C103" s="8" t="s">
        <v>25</v>
      </c>
      <c r="D103" s="8" t="s">
        <v>51</v>
      </c>
      <c r="E103" s="8" t="s">
        <v>19</v>
      </c>
      <c r="F103" s="8">
        <v>30</v>
      </c>
      <c r="G103" s="9"/>
      <c r="H103" s="9">
        <v>1</v>
      </c>
      <c r="I103" s="10">
        <v>67.5</v>
      </c>
      <c r="J103" s="8">
        <v>180</v>
      </c>
      <c r="K103" s="8">
        <f t="shared" si="16"/>
        <v>267</v>
      </c>
      <c r="L103" s="8">
        <v>55</v>
      </c>
      <c r="M103" s="8"/>
      <c r="N103" s="8"/>
      <c r="O103" s="8">
        <f>37-4+129-14</f>
        <v>148</v>
      </c>
      <c r="P103" s="11">
        <f t="shared" si="17"/>
        <v>0.45608108108108109</v>
      </c>
      <c r="Q103" s="11">
        <f t="shared" si="18"/>
        <v>0.25280898876404495</v>
      </c>
      <c r="R103" s="12">
        <f t="shared" si="19"/>
        <v>1210000</v>
      </c>
      <c r="S103" s="8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</row>
    <row r="104" spans="1:30" ht="12.75" customHeight="1" x14ac:dyDescent="0.25">
      <c r="A104" s="7">
        <v>46082</v>
      </c>
      <c r="B104" s="8" t="s">
        <v>87</v>
      </c>
      <c r="C104" s="8" t="s">
        <v>25</v>
      </c>
      <c r="D104" s="8" t="s">
        <v>26</v>
      </c>
      <c r="E104" s="8" t="s">
        <v>19</v>
      </c>
      <c r="F104" s="8">
        <v>42</v>
      </c>
      <c r="G104" s="9"/>
      <c r="H104" s="9">
        <v>1</v>
      </c>
      <c r="I104" s="10">
        <v>178.5</v>
      </c>
      <c r="J104" s="8">
        <v>218</v>
      </c>
      <c r="K104" s="8">
        <f t="shared" si="16"/>
        <v>232</v>
      </c>
      <c r="L104" s="8">
        <v>48</v>
      </c>
      <c r="M104" s="8"/>
      <c r="N104" s="8"/>
      <c r="O104" s="8">
        <f>272-20</f>
        <v>252</v>
      </c>
      <c r="P104" s="11">
        <f t="shared" si="17"/>
        <v>0.70833333333333337</v>
      </c>
      <c r="Q104" s="11">
        <f t="shared" si="18"/>
        <v>0.7693965517241379</v>
      </c>
      <c r="R104" s="12">
        <f t="shared" si="19"/>
        <v>1056000</v>
      </c>
      <c r="S104" s="8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</row>
    <row r="105" spans="1:30" ht="12.75" customHeight="1" x14ac:dyDescent="0.25">
      <c r="A105" s="7">
        <v>46082</v>
      </c>
      <c r="B105" s="8" t="s">
        <v>87</v>
      </c>
      <c r="C105" s="8" t="s">
        <v>25</v>
      </c>
      <c r="D105" s="8" t="s">
        <v>27</v>
      </c>
      <c r="E105" s="8" t="s">
        <v>19</v>
      </c>
      <c r="F105" s="8">
        <v>20</v>
      </c>
      <c r="G105" s="9"/>
      <c r="H105" s="9">
        <v>1</v>
      </c>
      <c r="I105" s="10">
        <v>130.33000000000001</v>
      </c>
      <c r="J105" s="8">
        <v>167</v>
      </c>
      <c r="K105" s="8">
        <f t="shared" si="16"/>
        <v>168</v>
      </c>
      <c r="L105" s="8">
        <v>48</v>
      </c>
      <c r="M105" s="8"/>
      <c r="N105" s="8"/>
      <c r="O105" s="8">
        <f>234-20</f>
        <v>214</v>
      </c>
      <c r="P105" s="11">
        <f t="shared" si="17"/>
        <v>0.60901869158878508</v>
      </c>
      <c r="Q105" s="11">
        <f t="shared" si="18"/>
        <v>0.77577380952380959</v>
      </c>
      <c r="R105" s="12">
        <f t="shared" si="19"/>
        <v>1056000</v>
      </c>
      <c r="S105" s="8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</row>
    <row r="106" spans="1:30" ht="12.75" customHeight="1" x14ac:dyDescent="0.25">
      <c r="A106" s="7">
        <v>46082</v>
      </c>
      <c r="B106" s="8" t="s">
        <v>87</v>
      </c>
      <c r="C106" s="8" t="s">
        <v>25</v>
      </c>
      <c r="D106" s="8" t="s">
        <v>28</v>
      </c>
      <c r="E106" s="8" t="s">
        <v>19</v>
      </c>
      <c r="F106" s="8">
        <v>20</v>
      </c>
      <c r="G106" s="9"/>
      <c r="H106" s="9">
        <v>1</v>
      </c>
      <c r="I106" s="10">
        <v>130.33000000000001</v>
      </c>
      <c r="J106" s="8">
        <v>176</v>
      </c>
      <c r="K106" s="8">
        <f t="shared" si="16"/>
        <v>195</v>
      </c>
      <c r="L106" s="8">
        <v>19</v>
      </c>
      <c r="M106" s="8"/>
      <c r="N106" s="8"/>
      <c r="O106" s="8">
        <f>204-20-8</f>
        <v>176</v>
      </c>
      <c r="P106" s="11">
        <f t="shared" si="17"/>
        <v>0.74051136363636372</v>
      </c>
      <c r="Q106" s="11">
        <f t="shared" si="18"/>
        <v>0.6683589743589744</v>
      </c>
      <c r="R106" s="12">
        <f t="shared" si="19"/>
        <v>418000</v>
      </c>
      <c r="S106" s="8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</row>
    <row r="107" spans="1:30" ht="12.75" customHeight="1" x14ac:dyDescent="0.25">
      <c r="A107" s="7">
        <v>46082</v>
      </c>
      <c r="B107" s="8" t="s">
        <v>87</v>
      </c>
      <c r="C107" s="8" t="s">
        <v>25</v>
      </c>
      <c r="D107" s="8" t="s">
        <v>29</v>
      </c>
      <c r="E107" s="8" t="s">
        <v>19</v>
      </c>
      <c r="F107" s="8">
        <v>35</v>
      </c>
      <c r="G107" s="9"/>
      <c r="H107" s="9">
        <v>1</v>
      </c>
      <c r="I107" s="10">
        <v>113.75</v>
      </c>
      <c r="J107" s="8">
        <v>158</v>
      </c>
      <c r="K107" s="8">
        <f t="shared" si="16"/>
        <v>171.5</v>
      </c>
      <c r="L107" s="8">
        <v>14</v>
      </c>
      <c r="M107" s="8"/>
      <c r="N107" s="8"/>
      <c r="O107" s="8">
        <f>62-6+20-3+132.5-20</f>
        <v>185.5</v>
      </c>
      <c r="P107" s="11">
        <f t="shared" si="17"/>
        <v>0.6132075471698113</v>
      </c>
      <c r="Q107" s="11">
        <f t="shared" si="18"/>
        <v>0.66326530612244894</v>
      </c>
      <c r="R107" s="12">
        <f t="shared" si="19"/>
        <v>308000</v>
      </c>
      <c r="S107" s="8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</row>
    <row r="108" spans="1:30" ht="12.75" customHeight="1" x14ac:dyDescent="0.25">
      <c r="A108" s="7">
        <v>46082</v>
      </c>
      <c r="B108" s="8" t="s">
        <v>87</v>
      </c>
      <c r="C108" s="8" t="s">
        <v>25</v>
      </c>
      <c r="D108" s="8" t="s">
        <v>30</v>
      </c>
      <c r="E108" s="8" t="s">
        <v>19</v>
      </c>
      <c r="F108" s="8">
        <v>26</v>
      </c>
      <c r="G108" s="9"/>
      <c r="H108" s="9">
        <v>1</v>
      </c>
      <c r="I108" s="10">
        <v>66.56</v>
      </c>
      <c r="J108" s="8">
        <v>133</v>
      </c>
      <c r="K108" s="8">
        <f t="shared" si="16"/>
        <v>146.5</v>
      </c>
      <c r="L108" s="8">
        <v>37</v>
      </c>
      <c r="M108" s="8"/>
      <c r="N108" s="8"/>
      <c r="O108" s="8">
        <f>168.5-20+8</f>
        <v>156.5</v>
      </c>
      <c r="P108" s="11">
        <f t="shared" si="17"/>
        <v>0.42530351437699682</v>
      </c>
      <c r="Q108" s="11">
        <f t="shared" si="18"/>
        <v>0.4543344709897611</v>
      </c>
      <c r="R108" s="12">
        <f t="shared" si="19"/>
        <v>814000</v>
      </c>
      <c r="S108" s="8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</row>
    <row r="109" spans="1:30" ht="12.75" customHeight="1" x14ac:dyDescent="0.25">
      <c r="A109" s="7">
        <v>46082</v>
      </c>
      <c r="B109" s="8" t="s">
        <v>87</v>
      </c>
      <c r="C109" s="8" t="s">
        <v>25</v>
      </c>
      <c r="D109" s="8" t="s">
        <v>31</v>
      </c>
      <c r="E109" s="8" t="s">
        <v>19</v>
      </c>
      <c r="F109" s="8">
        <v>36</v>
      </c>
      <c r="G109" s="9"/>
      <c r="H109" s="9">
        <v>1</v>
      </c>
      <c r="I109" s="10">
        <v>86.4</v>
      </c>
      <c r="J109" s="8">
        <v>103</v>
      </c>
      <c r="K109" s="8">
        <f t="shared" si="16"/>
        <v>132</v>
      </c>
      <c r="L109" s="8">
        <v>67</v>
      </c>
      <c r="M109" s="8"/>
      <c r="N109" s="8"/>
      <c r="O109" s="8">
        <f>155-14</f>
        <v>141</v>
      </c>
      <c r="P109" s="11">
        <f t="shared" si="17"/>
        <v>0.61276595744680851</v>
      </c>
      <c r="Q109" s="11">
        <f t="shared" si="18"/>
        <v>0.65454545454545454</v>
      </c>
      <c r="R109" s="12">
        <f t="shared" si="19"/>
        <v>1474000</v>
      </c>
      <c r="S109" s="8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</row>
    <row r="110" spans="1:30" ht="12.75" customHeight="1" x14ac:dyDescent="0.25">
      <c r="A110" s="7">
        <v>46082</v>
      </c>
      <c r="B110" s="8" t="s">
        <v>87</v>
      </c>
      <c r="C110" s="8" t="s">
        <v>25</v>
      </c>
      <c r="D110" s="8" t="s">
        <v>32</v>
      </c>
      <c r="E110" s="14" t="s">
        <v>21</v>
      </c>
      <c r="F110" s="8">
        <f>16+2</f>
        <v>18</v>
      </c>
      <c r="G110" s="9"/>
      <c r="H110" s="9">
        <v>2</v>
      </c>
      <c r="I110" s="10">
        <v>252.74</v>
      </c>
      <c r="J110" s="8">
        <v>306</v>
      </c>
      <c r="K110" s="8">
        <f t="shared" si="16"/>
        <v>310</v>
      </c>
      <c r="L110" s="8">
        <v>81</v>
      </c>
      <c r="M110" s="8"/>
      <c r="N110" s="8"/>
      <c r="O110" s="8">
        <f>213.5-20+(193.5-37-16)+64-7</f>
        <v>391</v>
      </c>
      <c r="P110" s="11">
        <f t="shared" si="17"/>
        <v>0.64639386189258319</v>
      </c>
      <c r="Q110" s="11">
        <f t="shared" si="18"/>
        <v>0.81529032258064515</v>
      </c>
      <c r="R110" s="12">
        <f t="shared" si="19"/>
        <v>1782000</v>
      </c>
      <c r="S110" s="8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</row>
    <row r="111" spans="1:30" ht="12.75" customHeight="1" x14ac:dyDescent="0.25">
      <c r="A111" s="7">
        <v>46082</v>
      </c>
      <c r="B111" s="8" t="s">
        <v>87</v>
      </c>
      <c r="C111" s="8" t="s">
        <v>25</v>
      </c>
      <c r="D111" s="8" t="s">
        <v>36</v>
      </c>
      <c r="E111" s="14" t="s">
        <v>21</v>
      </c>
      <c r="F111" s="8">
        <f>17+3+4</f>
        <v>24</v>
      </c>
      <c r="G111" s="9"/>
      <c r="H111" s="9">
        <v>2</v>
      </c>
      <c r="I111" s="10">
        <v>412.49</v>
      </c>
      <c r="J111" s="8">
        <v>310</v>
      </c>
      <c r="K111" s="8">
        <f t="shared" si="16"/>
        <v>324</v>
      </c>
      <c r="L111" s="8">
        <v>122</v>
      </c>
      <c r="M111" s="8"/>
      <c r="N111" s="8"/>
      <c r="O111" s="8">
        <f>252+234-40</f>
        <v>446</v>
      </c>
      <c r="P111" s="11">
        <f>+I111/O111</f>
        <v>0.92486547085201798</v>
      </c>
      <c r="Q111" s="11">
        <f t="shared" si="18"/>
        <v>1.2731172839506173</v>
      </c>
      <c r="R111" s="12">
        <f t="shared" si="19"/>
        <v>2684000</v>
      </c>
      <c r="S111" s="8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</row>
    <row r="112" spans="1:30" ht="12.75" customHeight="1" x14ac:dyDescent="0.25">
      <c r="A112" s="7">
        <v>46082</v>
      </c>
      <c r="B112" s="8" t="s">
        <v>33</v>
      </c>
      <c r="C112" s="8" t="s">
        <v>34</v>
      </c>
      <c r="D112" s="8" t="s">
        <v>35</v>
      </c>
      <c r="E112" s="14" t="s">
        <v>19</v>
      </c>
      <c r="F112" s="8">
        <v>201</v>
      </c>
      <c r="G112" s="9"/>
      <c r="H112" s="9">
        <v>6</v>
      </c>
      <c r="I112" s="10">
        <v>957</v>
      </c>
      <c r="J112" s="8">
        <v>602</v>
      </c>
      <c r="K112" s="8">
        <f t="shared" si="16"/>
        <v>1229</v>
      </c>
      <c r="L112" s="8">
        <v>36</v>
      </c>
      <c r="M112" s="8"/>
      <c r="N112" s="8"/>
      <c r="O112" s="8">
        <f>185+240+289+243+251+177-120</f>
        <v>1265</v>
      </c>
      <c r="P112" s="11">
        <f t="shared" si="17"/>
        <v>0.75652173913043474</v>
      </c>
      <c r="Q112" s="11">
        <f t="shared" si="18"/>
        <v>0.77868185516680233</v>
      </c>
      <c r="R112" s="12">
        <f t="shared" si="19"/>
        <v>792000</v>
      </c>
      <c r="S112" s="8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</row>
    <row r="113" spans="1:30" ht="12.75" customHeight="1" x14ac:dyDescent="0.25">
      <c r="A113" s="7">
        <v>46082</v>
      </c>
      <c r="B113" s="8" t="s">
        <v>33</v>
      </c>
      <c r="C113" s="8" t="s">
        <v>46</v>
      </c>
      <c r="D113" s="8" t="s">
        <v>47</v>
      </c>
      <c r="E113" s="14" t="s">
        <v>21</v>
      </c>
      <c r="F113" s="8">
        <v>170</v>
      </c>
      <c r="G113" s="9"/>
      <c r="H113" s="9">
        <v>8</v>
      </c>
      <c r="I113" s="10">
        <v>822</v>
      </c>
      <c r="J113" s="8">
        <v>818</v>
      </c>
      <c r="K113" s="8">
        <f t="shared" si="16"/>
        <v>1032</v>
      </c>
      <c r="L113" s="8">
        <v>869</v>
      </c>
      <c r="M113" s="8"/>
      <c r="N113" s="8"/>
      <c r="O113" s="8">
        <f>1553+(8*10)-8*20</f>
        <v>1473</v>
      </c>
      <c r="P113" s="11">
        <f t="shared" si="17"/>
        <v>0.55804480651731159</v>
      </c>
      <c r="Q113" s="11">
        <f t="shared" si="18"/>
        <v>0.79651162790697672</v>
      </c>
      <c r="R113" s="12">
        <f t="shared" si="19"/>
        <v>19118000</v>
      </c>
      <c r="S113" s="8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</row>
    <row r="114" spans="1:30" ht="12.75" customHeight="1" x14ac:dyDescent="0.25">
      <c r="A114" s="7">
        <v>46082</v>
      </c>
      <c r="B114" s="8" t="s">
        <v>88</v>
      </c>
      <c r="C114" s="8" t="s">
        <v>89</v>
      </c>
      <c r="D114" s="8" t="s">
        <v>37</v>
      </c>
      <c r="E114" s="8" t="s">
        <v>19</v>
      </c>
      <c r="F114" s="40">
        <v>25</v>
      </c>
      <c r="G114" s="9">
        <v>9.1999999999999993</v>
      </c>
      <c r="H114" s="9">
        <v>2</v>
      </c>
      <c r="I114" s="10">
        <f t="shared" ref="I114:I121" si="20">(G114*F114)+0.25*F114</f>
        <v>236.24999999999997</v>
      </c>
      <c r="J114" s="8">
        <v>289</v>
      </c>
      <c r="K114" s="8">
        <f t="shared" si="16"/>
        <v>290</v>
      </c>
      <c r="L114" s="15">
        <v>101</v>
      </c>
      <c r="M114" s="15"/>
      <c r="N114" s="15"/>
      <c r="O114" s="14">
        <f>191+240-40</f>
        <v>391</v>
      </c>
      <c r="P114" s="11">
        <f t="shared" si="17"/>
        <v>0.60421994884910479</v>
      </c>
      <c r="Q114" s="11">
        <f t="shared" si="18"/>
        <v>0.81465517241379304</v>
      </c>
      <c r="R114" s="12">
        <f t="shared" si="19"/>
        <v>2222000</v>
      </c>
      <c r="S114" s="8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</row>
    <row r="115" spans="1:30" ht="12.75" customHeight="1" x14ac:dyDescent="0.25">
      <c r="A115" s="7">
        <v>46082</v>
      </c>
      <c r="B115" s="8" t="s">
        <v>88</v>
      </c>
      <c r="C115" s="8" t="s">
        <v>89</v>
      </c>
      <c r="D115" s="8" t="s">
        <v>38</v>
      </c>
      <c r="E115" s="8" t="s">
        <v>19</v>
      </c>
      <c r="F115" s="40">
        <v>24</v>
      </c>
      <c r="G115" s="9">
        <v>7.61</v>
      </c>
      <c r="H115" s="9">
        <v>2</v>
      </c>
      <c r="I115" s="10">
        <f t="shared" si="20"/>
        <v>188.64000000000001</v>
      </c>
      <c r="J115" s="8">
        <v>373</v>
      </c>
      <c r="K115" s="8">
        <f t="shared" si="16"/>
        <v>419</v>
      </c>
      <c r="L115" s="15">
        <v>46</v>
      </c>
      <c r="M115" s="15"/>
      <c r="N115" s="15"/>
      <c r="O115" s="14">
        <f>225+188-40</f>
        <v>373</v>
      </c>
      <c r="P115" s="11">
        <f t="shared" si="17"/>
        <v>0.50573726541554964</v>
      </c>
      <c r="Q115" s="11">
        <f t="shared" si="18"/>
        <v>0.45021479713603824</v>
      </c>
      <c r="R115" s="12">
        <f t="shared" si="19"/>
        <v>1012000</v>
      </c>
      <c r="S115" s="8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</row>
    <row r="116" spans="1:30" ht="12.75" customHeight="1" x14ac:dyDescent="0.25">
      <c r="A116" s="7">
        <v>46082</v>
      </c>
      <c r="B116" s="8" t="s">
        <v>88</v>
      </c>
      <c r="C116" s="8" t="s">
        <v>89</v>
      </c>
      <c r="D116" s="8" t="s">
        <v>39</v>
      </c>
      <c r="E116" s="8" t="s">
        <v>19</v>
      </c>
      <c r="F116" s="40">
        <v>27</v>
      </c>
      <c r="G116" s="9">
        <v>12.98</v>
      </c>
      <c r="H116" s="9">
        <v>3</v>
      </c>
      <c r="I116" s="10">
        <f t="shared" si="20"/>
        <v>357.21000000000004</v>
      </c>
      <c r="J116" s="8">
        <v>414</v>
      </c>
      <c r="K116" s="8">
        <f t="shared" si="16"/>
        <v>427.5</v>
      </c>
      <c r="L116" s="15">
        <v>57</v>
      </c>
      <c r="M116" s="15"/>
      <c r="N116" s="15"/>
      <c r="O116" s="14">
        <f>224+229+81.5-40-10</f>
        <v>484.5</v>
      </c>
      <c r="P116" s="11">
        <f t="shared" si="17"/>
        <v>0.73727554179566568</v>
      </c>
      <c r="Q116" s="11">
        <f t="shared" si="18"/>
        <v>0.83557894736842109</v>
      </c>
      <c r="R116" s="12">
        <f t="shared" si="19"/>
        <v>1254000</v>
      </c>
      <c r="S116" s="8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</row>
    <row r="117" spans="1:30" ht="12.75" customHeight="1" x14ac:dyDescent="0.25">
      <c r="A117" s="7">
        <v>46082</v>
      </c>
      <c r="B117" s="8" t="s">
        <v>88</v>
      </c>
      <c r="C117" s="8" t="s">
        <v>89</v>
      </c>
      <c r="D117" s="8" t="s">
        <v>40</v>
      </c>
      <c r="E117" s="8" t="s">
        <v>19</v>
      </c>
      <c r="F117" s="40">
        <v>23</v>
      </c>
      <c r="G117" s="9">
        <v>4.6900000000000004</v>
      </c>
      <c r="H117" s="9">
        <v>1</v>
      </c>
      <c r="I117" s="10">
        <f t="shared" si="20"/>
        <v>113.62</v>
      </c>
      <c r="J117" s="8">
        <v>280</v>
      </c>
      <c r="K117" s="8">
        <f t="shared" si="16"/>
        <v>355</v>
      </c>
      <c r="L117" s="15">
        <v>9</v>
      </c>
      <c r="M117" s="15"/>
      <c r="N117" s="15"/>
      <c r="O117" s="14">
        <f>234-20</f>
        <v>214</v>
      </c>
      <c r="P117" s="11">
        <f t="shared" si="17"/>
        <v>0.53093457943925237</v>
      </c>
      <c r="Q117" s="11">
        <f t="shared" si="18"/>
        <v>0.32005633802816902</v>
      </c>
      <c r="R117" s="12">
        <f t="shared" si="19"/>
        <v>198000</v>
      </c>
      <c r="S117" s="8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</row>
    <row r="118" spans="1:30" ht="12.75" customHeight="1" x14ac:dyDescent="0.25">
      <c r="A118" s="7">
        <v>46082</v>
      </c>
      <c r="B118" s="8" t="s">
        <v>88</v>
      </c>
      <c r="C118" s="8" t="s">
        <v>89</v>
      </c>
      <c r="D118" s="8" t="s">
        <v>41</v>
      </c>
      <c r="E118" s="8" t="s">
        <v>19</v>
      </c>
      <c r="F118" s="40">
        <v>28</v>
      </c>
      <c r="G118" s="9">
        <v>4.6100000000000003</v>
      </c>
      <c r="H118" s="9">
        <v>1</v>
      </c>
      <c r="I118" s="10">
        <f t="shared" si="20"/>
        <v>136.08000000000001</v>
      </c>
      <c r="J118" s="8">
        <v>171</v>
      </c>
      <c r="K118" s="8">
        <f t="shared" si="16"/>
        <v>180.5</v>
      </c>
      <c r="L118" s="15">
        <v>0</v>
      </c>
      <c r="M118" s="15"/>
      <c r="N118" s="15"/>
      <c r="O118" s="14">
        <f>251/2+64-28</f>
        <v>161.5</v>
      </c>
      <c r="P118" s="11">
        <f t="shared" si="17"/>
        <v>0.84260061919504647</v>
      </c>
      <c r="Q118" s="11">
        <f t="shared" si="18"/>
        <v>0.75390581717451532</v>
      </c>
      <c r="R118" s="12">
        <f t="shared" si="19"/>
        <v>0</v>
      </c>
      <c r="S118" s="8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</row>
    <row r="119" spans="1:30" ht="12.75" customHeight="1" x14ac:dyDescent="0.25">
      <c r="A119" s="7">
        <v>46082</v>
      </c>
      <c r="B119" s="8" t="s">
        <v>88</v>
      </c>
      <c r="C119" s="8" t="s">
        <v>89</v>
      </c>
      <c r="D119" s="8" t="s">
        <v>42</v>
      </c>
      <c r="E119" s="8" t="s">
        <v>19</v>
      </c>
      <c r="F119" s="40">
        <v>28</v>
      </c>
      <c r="G119" s="9">
        <v>4.5</v>
      </c>
      <c r="H119" s="9">
        <v>1</v>
      </c>
      <c r="I119" s="10">
        <f t="shared" si="20"/>
        <v>133</v>
      </c>
      <c r="J119" s="8">
        <v>140</v>
      </c>
      <c r="K119" s="8">
        <f t="shared" si="16"/>
        <v>174.5</v>
      </c>
      <c r="L119" s="15">
        <v>0</v>
      </c>
      <c r="M119" s="15"/>
      <c r="N119" s="15"/>
      <c r="O119" s="14">
        <f>194.5-20</f>
        <v>174.5</v>
      </c>
      <c r="P119" s="11">
        <f t="shared" si="17"/>
        <v>0.76217765042979946</v>
      </c>
      <c r="Q119" s="11">
        <f t="shared" si="18"/>
        <v>0.76217765042979946</v>
      </c>
      <c r="R119" s="12">
        <f t="shared" si="19"/>
        <v>0</v>
      </c>
      <c r="S119" s="8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</row>
    <row r="120" spans="1:30" ht="12.75" customHeight="1" x14ac:dyDescent="0.25">
      <c r="A120" s="7">
        <v>46082</v>
      </c>
      <c r="B120" s="8" t="s">
        <v>88</v>
      </c>
      <c r="C120" s="8" t="s">
        <v>89</v>
      </c>
      <c r="D120" s="8" t="s">
        <v>43</v>
      </c>
      <c r="E120" s="8" t="s">
        <v>19</v>
      </c>
      <c r="F120" s="40">
        <v>21</v>
      </c>
      <c r="G120" s="9">
        <v>9.1999999999999993</v>
      </c>
      <c r="H120" s="9">
        <v>2</v>
      </c>
      <c r="I120" s="10">
        <f t="shared" si="20"/>
        <v>198.45</v>
      </c>
      <c r="J120" s="8">
        <v>210</v>
      </c>
      <c r="K120" s="8">
        <f t="shared" si="16"/>
        <v>324.39999999999998</v>
      </c>
      <c r="L120" s="15">
        <v>119.6</v>
      </c>
      <c r="M120" s="15"/>
      <c r="N120" s="15"/>
      <c r="O120" s="14">
        <f>240+244-40</f>
        <v>444</v>
      </c>
      <c r="P120" s="11">
        <f t="shared" si="17"/>
        <v>0.44695945945945942</v>
      </c>
      <c r="Q120" s="11">
        <f t="shared" si="18"/>
        <v>0.61174475955610363</v>
      </c>
      <c r="R120" s="12">
        <f t="shared" si="19"/>
        <v>2631200</v>
      </c>
      <c r="S120" s="8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</row>
    <row r="121" spans="1:30" ht="12.75" customHeight="1" x14ac:dyDescent="0.25">
      <c r="A121" s="7">
        <v>46082</v>
      </c>
      <c r="B121" s="8" t="s">
        <v>88</v>
      </c>
      <c r="C121" s="8" t="s">
        <v>89</v>
      </c>
      <c r="D121" s="8" t="s">
        <v>44</v>
      </c>
      <c r="E121" s="8" t="s">
        <v>19</v>
      </c>
      <c r="F121" s="40">
        <v>26</v>
      </c>
      <c r="G121" s="9">
        <f>20736/3600</f>
        <v>5.76</v>
      </c>
      <c r="H121" s="9">
        <v>1</v>
      </c>
      <c r="I121" s="10">
        <f t="shared" si="20"/>
        <v>156.26</v>
      </c>
      <c r="J121" s="8">
        <v>144</v>
      </c>
      <c r="K121" s="8">
        <f t="shared" si="16"/>
        <v>150</v>
      </c>
      <c r="L121" s="15">
        <v>16</v>
      </c>
      <c r="M121" s="15"/>
      <c r="N121" s="15"/>
      <c r="O121" s="14">
        <f>186-20</f>
        <v>166</v>
      </c>
      <c r="P121" s="11">
        <f t="shared" si="17"/>
        <v>0.94132530120481928</v>
      </c>
      <c r="Q121" s="11">
        <f t="shared" si="18"/>
        <v>1.0417333333333332</v>
      </c>
      <c r="R121" s="12">
        <f t="shared" si="19"/>
        <v>352000</v>
      </c>
      <c r="S121" s="8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</row>
    <row r="122" spans="1:30" ht="12.75" customHeight="1" x14ac:dyDescent="0.25">
      <c r="A122" s="7">
        <v>46082</v>
      </c>
      <c r="B122" s="8" t="s">
        <v>33</v>
      </c>
      <c r="C122" s="8" t="s">
        <v>61</v>
      </c>
      <c r="D122" s="8" t="s">
        <v>62</v>
      </c>
      <c r="E122" s="14" t="s">
        <v>19</v>
      </c>
      <c r="F122" s="8">
        <v>213</v>
      </c>
      <c r="G122" s="9"/>
      <c r="H122" s="9">
        <v>3</v>
      </c>
      <c r="I122" s="10">
        <v>633</v>
      </c>
      <c r="J122" s="8">
        <v>724</v>
      </c>
      <c r="K122" s="8">
        <f t="shared" si="16"/>
        <v>758.5</v>
      </c>
      <c r="L122" s="8">
        <v>47</v>
      </c>
      <c r="M122" s="8"/>
      <c r="N122" s="8"/>
      <c r="O122" s="8">
        <f>301+145+300.5+129-70</f>
        <v>805.5</v>
      </c>
      <c r="P122" s="11">
        <f t="shared" si="17"/>
        <v>0.78584729981378021</v>
      </c>
      <c r="Q122" s="11">
        <f t="shared" si="18"/>
        <v>0.83454185893210286</v>
      </c>
      <c r="R122" s="12">
        <f t="shared" si="19"/>
        <v>1034000</v>
      </c>
      <c r="S122" s="8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</row>
    <row r="123" spans="1:30" ht="12.75" customHeight="1" x14ac:dyDescent="0.25">
      <c r="A123" s="7">
        <v>46082</v>
      </c>
      <c r="B123" s="8" t="s">
        <v>33</v>
      </c>
      <c r="C123" s="8" t="s">
        <v>63</v>
      </c>
      <c r="D123" s="8" t="s">
        <v>64</v>
      </c>
      <c r="E123" s="14" t="s">
        <v>19</v>
      </c>
      <c r="F123" s="8">
        <v>48</v>
      </c>
      <c r="G123" s="9"/>
      <c r="H123" s="9">
        <v>4</v>
      </c>
      <c r="I123" s="10">
        <v>496</v>
      </c>
      <c r="J123" s="8">
        <v>496</v>
      </c>
      <c r="K123" s="8">
        <f t="shared" si="16"/>
        <v>603.5</v>
      </c>
      <c r="L123" s="8">
        <v>58</v>
      </c>
      <c r="M123" s="8"/>
      <c r="N123" s="8"/>
      <c r="O123" s="8">
        <f>185.5+208+209+129-70</f>
        <v>661.5</v>
      </c>
      <c r="P123" s="11">
        <f t="shared" si="17"/>
        <v>0.74981103552532125</v>
      </c>
      <c r="Q123" s="11">
        <f t="shared" si="18"/>
        <v>0.82187241093620544</v>
      </c>
      <c r="R123" s="12">
        <f t="shared" si="19"/>
        <v>1276000</v>
      </c>
      <c r="S123" s="8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</row>
    <row r="124" spans="1:30" ht="12.75" customHeight="1" x14ac:dyDescent="0.25">
      <c r="A124" s="7">
        <v>46082</v>
      </c>
      <c r="B124" s="8" t="s">
        <v>33</v>
      </c>
      <c r="C124" s="8" t="s">
        <v>63</v>
      </c>
      <c r="D124" s="8" t="s">
        <v>65</v>
      </c>
      <c r="E124" s="14" t="s">
        <v>19</v>
      </c>
      <c r="F124" s="8">
        <v>66</v>
      </c>
      <c r="G124" s="9"/>
      <c r="H124" s="9">
        <v>4</v>
      </c>
      <c r="I124" s="10">
        <v>757</v>
      </c>
      <c r="J124" s="8">
        <v>644</v>
      </c>
      <c r="K124" s="8">
        <f t="shared" si="16"/>
        <v>651</v>
      </c>
      <c r="L124" s="8">
        <v>51</v>
      </c>
      <c r="M124" s="8"/>
      <c r="N124" s="8"/>
      <c r="O124" s="8">
        <f>166+244+215.5+156.5-80</f>
        <v>702</v>
      </c>
      <c r="P124" s="11">
        <f t="shared" si="17"/>
        <v>1.0783475783475784</v>
      </c>
      <c r="Q124" s="11">
        <f t="shared" si="18"/>
        <v>1.1628264208909371</v>
      </c>
      <c r="R124" s="12">
        <f t="shared" si="19"/>
        <v>1122000</v>
      </c>
      <c r="S124" s="8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</row>
    <row r="125" spans="1:30" ht="12.75" customHeight="1" x14ac:dyDescent="0.25">
      <c r="A125" s="7">
        <v>46082</v>
      </c>
      <c r="B125" s="8" t="s">
        <v>33</v>
      </c>
      <c r="C125" s="8" t="s">
        <v>63</v>
      </c>
      <c r="D125" s="8" t="s">
        <v>66</v>
      </c>
      <c r="E125" s="14" t="s">
        <v>19</v>
      </c>
      <c r="F125" s="8">
        <v>78</v>
      </c>
      <c r="G125" s="9"/>
      <c r="H125" s="9">
        <v>4</v>
      </c>
      <c r="I125" s="10">
        <v>814</v>
      </c>
      <c r="J125" s="8">
        <v>734</v>
      </c>
      <c r="K125" s="8">
        <f t="shared" si="16"/>
        <v>765</v>
      </c>
      <c r="L125" s="8">
        <v>82</v>
      </c>
      <c r="M125" s="8"/>
      <c r="N125" s="8"/>
      <c r="O125" s="8">
        <f>254.5+274.5+199+199-80</f>
        <v>847</v>
      </c>
      <c r="P125" s="11">
        <f t="shared" si="17"/>
        <v>0.96103896103896103</v>
      </c>
      <c r="Q125" s="11">
        <f t="shared" si="18"/>
        <v>1.0640522875816993</v>
      </c>
      <c r="R125" s="12">
        <f t="shared" si="19"/>
        <v>1804000</v>
      </c>
      <c r="S125" s="8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</row>
    <row r="126" spans="1:30" ht="12.75" customHeight="1" x14ac:dyDescent="0.25">
      <c r="A126" s="7">
        <v>46082</v>
      </c>
      <c r="B126" s="8" t="s">
        <v>33</v>
      </c>
      <c r="C126" s="8" t="s">
        <v>63</v>
      </c>
      <c r="D126" s="8" t="s">
        <v>85</v>
      </c>
      <c r="E126" s="14" t="s">
        <v>19</v>
      </c>
      <c r="F126" s="8">
        <v>61</v>
      </c>
      <c r="G126" s="9"/>
      <c r="H126" s="9">
        <v>2</v>
      </c>
      <c r="I126" s="10">
        <v>310</v>
      </c>
      <c r="J126" s="8">
        <v>186</v>
      </c>
      <c r="K126" s="8">
        <f t="shared" si="16"/>
        <v>204.5</v>
      </c>
      <c r="L126" s="8">
        <v>53</v>
      </c>
      <c r="M126" s="8"/>
      <c r="N126" s="8"/>
      <c r="O126" s="8">
        <f>185+112.5-40</f>
        <v>257.5</v>
      </c>
      <c r="P126" s="11">
        <f t="shared" si="17"/>
        <v>1.203883495145631</v>
      </c>
      <c r="Q126" s="11">
        <f t="shared" si="18"/>
        <v>1.5158924205378974</v>
      </c>
      <c r="R126" s="12">
        <f t="shared" si="19"/>
        <v>1166000</v>
      </c>
      <c r="S126" s="8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</row>
    <row r="127" spans="1:30" ht="12.75" customHeight="1" x14ac:dyDescent="0.25">
      <c r="A127" s="7">
        <v>46082</v>
      </c>
      <c r="B127" s="8" t="s">
        <v>88</v>
      </c>
      <c r="C127" s="8" t="s">
        <v>89</v>
      </c>
      <c r="D127" s="8" t="s">
        <v>86</v>
      </c>
      <c r="E127" s="14" t="s">
        <v>21</v>
      </c>
      <c r="F127" s="40">
        <v>24</v>
      </c>
      <c r="G127" s="9">
        <v>8.98</v>
      </c>
      <c r="H127" s="9">
        <v>2</v>
      </c>
      <c r="I127" s="10">
        <f>(G127*F127)+0.25*F127</f>
        <v>221.52</v>
      </c>
      <c r="J127" s="8">
        <v>286</v>
      </c>
      <c r="K127" s="8">
        <f t="shared" si="16"/>
        <v>339.5</v>
      </c>
      <c r="L127" s="15">
        <v>138</v>
      </c>
      <c r="M127" s="15"/>
      <c r="N127" s="15"/>
      <c r="O127" s="14">
        <f>208+202.5-40</f>
        <v>370.5</v>
      </c>
      <c r="P127" s="11">
        <f t="shared" si="17"/>
        <v>0.59789473684210526</v>
      </c>
      <c r="Q127" s="11">
        <f t="shared" si="18"/>
        <v>0.65248895434462451</v>
      </c>
      <c r="R127" s="12">
        <f t="shared" si="19"/>
        <v>3036000</v>
      </c>
      <c r="S127" s="8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</row>
    <row r="128" spans="1:30" ht="12.75" customHeight="1" x14ac:dyDescent="0.25">
      <c r="A128" s="7">
        <v>46082</v>
      </c>
      <c r="B128" s="8" t="s">
        <v>88</v>
      </c>
      <c r="C128" s="8" t="s">
        <v>89</v>
      </c>
      <c r="D128" s="8" t="s">
        <v>48</v>
      </c>
      <c r="E128" s="8" t="s">
        <v>19</v>
      </c>
      <c r="F128" s="40">
        <v>28</v>
      </c>
      <c r="G128" s="9">
        <v>4.33</v>
      </c>
      <c r="H128" s="9">
        <v>1</v>
      </c>
      <c r="I128" s="10">
        <f>(G128*F128)+0.25*F128</f>
        <v>128.24</v>
      </c>
      <c r="J128" s="8">
        <v>151</v>
      </c>
      <c r="K128" s="8">
        <f t="shared" si="16"/>
        <v>151</v>
      </c>
      <c r="L128" s="15">
        <v>70</v>
      </c>
      <c r="M128" s="15"/>
      <c r="N128" s="15"/>
      <c r="O128" s="14">
        <f>241-20</f>
        <v>221</v>
      </c>
      <c r="P128" s="11">
        <f t="shared" si="17"/>
        <v>0.58027149321266969</v>
      </c>
      <c r="Q128" s="11">
        <f t="shared" si="18"/>
        <v>0.84927152317880805</v>
      </c>
      <c r="R128" s="12">
        <f t="shared" si="19"/>
        <v>1540000</v>
      </c>
      <c r="S128" s="8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</row>
    <row r="129" spans="1:30" ht="12.75" customHeight="1" x14ac:dyDescent="0.25">
      <c r="A129" s="7">
        <v>46082</v>
      </c>
      <c r="B129" s="8" t="s">
        <v>88</v>
      </c>
      <c r="C129" s="8" t="s">
        <v>89</v>
      </c>
      <c r="D129" s="8" t="s">
        <v>49</v>
      </c>
      <c r="E129" s="8" t="s">
        <v>19</v>
      </c>
      <c r="F129" s="40">
        <v>26</v>
      </c>
      <c r="G129" s="9">
        <v>4.5999999999999996</v>
      </c>
      <c r="H129" s="9">
        <v>1</v>
      </c>
      <c r="I129" s="10">
        <f>(G129*F129)+0.25*F129</f>
        <v>126.1</v>
      </c>
      <c r="J129" s="8">
        <v>107</v>
      </c>
      <c r="K129" s="8">
        <f t="shared" si="16"/>
        <v>121.5</v>
      </c>
      <c r="L129" s="15">
        <v>30</v>
      </c>
      <c r="M129" s="15"/>
      <c r="N129" s="15"/>
      <c r="O129" s="14">
        <f>171.5-20</f>
        <v>151.5</v>
      </c>
      <c r="P129" s="11">
        <f t="shared" si="17"/>
        <v>0.83234323432343227</v>
      </c>
      <c r="Q129" s="11">
        <f t="shared" si="18"/>
        <v>1.0378600823045268</v>
      </c>
      <c r="R129" s="12">
        <f t="shared" si="19"/>
        <v>660000</v>
      </c>
      <c r="S129" s="8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</row>
    <row r="130" spans="1:30" ht="12.75" customHeight="1" x14ac:dyDescent="0.25">
      <c r="A130" s="7">
        <v>46082</v>
      </c>
      <c r="B130" s="8" t="s">
        <v>88</v>
      </c>
      <c r="C130" s="8" t="s">
        <v>89</v>
      </c>
      <c r="D130" s="8" t="s">
        <v>50</v>
      </c>
      <c r="E130" s="8" t="s">
        <v>19</v>
      </c>
      <c r="F130" s="40">
        <v>25</v>
      </c>
      <c r="G130" s="9">
        <v>4.66</v>
      </c>
      <c r="H130" s="9">
        <v>1</v>
      </c>
      <c r="I130" s="10">
        <f>(G130*F130)+0.25*F130</f>
        <v>122.75</v>
      </c>
      <c r="J130" s="8">
        <v>140.5</v>
      </c>
      <c r="K130" s="8">
        <f t="shared" ref="K130:K171" si="21">J130+ABS(O130-(J130+L130))</f>
        <v>146</v>
      </c>
      <c r="L130" s="15">
        <v>33</v>
      </c>
      <c r="M130" s="15"/>
      <c r="N130" s="15"/>
      <c r="O130" s="14">
        <f>199-20</f>
        <v>179</v>
      </c>
      <c r="P130" s="11">
        <f t="shared" ref="P130:P143" si="22">+I130/O130</f>
        <v>0.68575418994413406</v>
      </c>
      <c r="Q130" s="11">
        <f t="shared" ref="Q130:Q143" si="23">+I130/K130</f>
        <v>0.84075342465753422</v>
      </c>
      <c r="R130" s="12">
        <f t="shared" ref="R130:R171" si="24">+L130*22000</f>
        <v>726000</v>
      </c>
      <c r="S130" s="8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</row>
    <row r="131" spans="1:30" ht="12.75" customHeight="1" x14ac:dyDescent="0.25">
      <c r="A131" s="7">
        <v>46113</v>
      </c>
      <c r="B131" s="8" t="s">
        <v>33</v>
      </c>
      <c r="C131" s="8" t="s">
        <v>34</v>
      </c>
      <c r="D131" s="8" t="s">
        <v>35</v>
      </c>
      <c r="E131" s="14" t="s">
        <v>19</v>
      </c>
      <c r="F131" s="29">
        <v>97</v>
      </c>
      <c r="G131" s="30"/>
      <c r="H131" s="30">
        <v>6</v>
      </c>
      <c r="I131" s="31">
        <v>483</v>
      </c>
      <c r="J131" s="29">
        <v>273</v>
      </c>
      <c r="K131" s="29">
        <f t="shared" si="21"/>
        <v>611</v>
      </c>
      <c r="L131" s="29">
        <v>65</v>
      </c>
      <c r="M131" s="8"/>
      <c r="N131" s="8"/>
      <c r="O131" s="8"/>
      <c r="P131" s="11" t="e">
        <f t="shared" si="22"/>
        <v>#DIV/0!</v>
      </c>
      <c r="Q131" s="11">
        <f t="shared" si="23"/>
        <v>0.79050736497545004</v>
      </c>
      <c r="R131" s="12">
        <f t="shared" si="24"/>
        <v>1430000</v>
      </c>
      <c r="S131" s="8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</row>
    <row r="132" spans="1:30" ht="12.75" customHeight="1" x14ac:dyDescent="0.25">
      <c r="A132" s="7">
        <v>46113</v>
      </c>
      <c r="B132" s="8" t="s">
        <v>33</v>
      </c>
      <c r="C132" s="8" t="s">
        <v>46</v>
      </c>
      <c r="D132" s="8" t="s">
        <v>47</v>
      </c>
      <c r="E132" s="14" t="s">
        <v>21</v>
      </c>
      <c r="F132" s="29">
        <v>102</v>
      </c>
      <c r="G132" s="30"/>
      <c r="H132" s="30">
        <v>8</v>
      </c>
      <c r="I132" s="31">
        <v>476</v>
      </c>
      <c r="J132" s="29">
        <v>583</v>
      </c>
      <c r="K132" s="29">
        <f t="shared" si="21"/>
        <v>1611</v>
      </c>
      <c r="L132" s="29">
        <v>445</v>
      </c>
      <c r="M132" s="8"/>
      <c r="N132" s="8"/>
      <c r="O132" s="8"/>
      <c r="P132" s="11" t="e">
        <f t="shared" si="22"/>
        <v>#DIV/0!</v>
      </c>
      <c r="Q132" s="11">
        <f t="shared" si="23"/>
        <v>0.29546865301055247</v>
      </c>
      <c r="R132" s="12">
        <f t="shared" si="24"/>
        <v>9790000</v>
      </c>
      <c r="S132" s="8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</row>
    <row r="133" spans="1:30" ht="12.75" customHeight="1" x14ac:dyDescent="0.25">
      <c r="A133" s="7">
        <v>46113</v>
      </c>
      <c r="B133" s="8" t="s">
        <v>55</v>
      </c>
      <c r="C133" s="8" t="s">
        <v>56</v>
      </c>
      <c r="D133" s="17" t="s">
        <v>57</v>
      </c>
      <c r="E133" s="8" t="s">
        <v>19</v>
      </c>
      <c r="F133" s="8">
        <v>17</v>
      </c>
      <c r="G133" s="9">
        <f>2.75*2</f>
        <v>5.5</v>
      </c>
      <c r="H133" s="9">
        <v>2</v>
      </c>
      <c r="I133" s="10">
        <f t="shared" ref="I133:I144" si="25">(G133*F133)+0.25*F133</f>
        <v>97.75</v>
      </c>
      <c r="J133" s="8">
        <v>134</v>
      </c>
      <c r="K133" s="8">
        <f t="shared" si="21"/>
        <v>187</v>
      </c>
      <c r="L133" s="8">
        <v>0</v>
      </c>
      <c r="M133" s="8"/>
      <c r="N133" s="8"/>
      <c r="O133" s="8">
        <f>80+18+17-12+71+15+9-11</f>
        <v>187</v>
      </c>
      <c r="P133" s="11">
        <f t="shared" si="22"/>
        <v>0.52272727272727271</v>
      </c>
      <c r="Q133" s="11">
        <f t="shared" si="23"/>
        <v>0.52272727272727271</v>
      </c>
      <c r="R133" s="12">
        <f t="shared" si="24"/>
        <v>0</v>
      </c>
      <c r="S133" s="14" t="s">
        <v>58</v>
      </c>
      <c r="T133" s="18"/>
      <c r="U133" s="18"/>
      <c r="V133" s="18"/>
      <c r="W133" s="18"/>
      <c r="X133" s="18"/>
      <c r="Y133" s="18"/>
      <c r="Z133" s="18"/>
      <c r="AA133" s="18"/>
      <c r="AB133" s="18"/>
      <c r="AC133" s="18"/>
      <c r="AD133" s="18"/>
    </row>
    <row r="134" spans="1:30" ht="12.75" customHeight="1" x14ac:dyDescent="0.25">
      <c r="A134" s="7">
        <v>46113</v>
      </c>
      <c r="B134" s="8" t="s">
        <v>55</v>
      </c>
      <c r="C134" s="8" t="s">
        <v>56</v>
      </c>
      <c r="D134" s="17" t="s">
        <v>59</v>
      </c>
      <c r="E134" s="8" t="s">
        <v>19</v>
      </c>
      <c r="F134" s="8">
        <v>17</v>
      </c>
      <c r="G134" s="9">
        <f>2.75*2</f>
        <v>5.5</v>
      </c>
      <c r="H134" s="9">
        <v>2</v>
      </c>
      <c r="I134" s="10">
        <f t="shared" si="25"/>
        <v>97.75</v>
      </c>
      <c r="J134" s="8">
        <v>145</v>
      </c>
      <c r="K134" s="8">
        <f t="shared" si="21"/>
        <v>170.5</v>
      </c>
      <c r="L134" s="8">
        <v>3</v>
      </c>
      <c r="M134" s="8"/>
      <c r="N134" s="8"/>
      <c r="O134" s="8">
        <f>80+4.5+9-11+80+12+10-11</f>
        <v>173.5</v>
      </c>
      <c r="P134" s="11">
        <f t="shared" si="22"/>
        <v>0.56340057636887608</v>
      </c>
      <c r="Q134" s="11">
        <f t="shared" si="23"/>
        <v>0.57331378299120239</v>
      </c>
      <c r="R134" s="12">
        <f t="shared" si="24"/>
        <v>66000</v>
      </c>
      <c r="S134" s="14" t="s">
        <v>60</v>
      </c>
      <c r="T134" s="18"/>
      <c r="U134" s="18"/>
      <c r="V134" s="18"/>
      <c r="W134" s="18"/>
      <c r="X134" s="18"/>
      <c r="Y134" s="18"/>
      <c r="Z134" s="18"/>
      <c r="AA134" s="18"/>
      <c r="AB134" s="18"/>
      <c r="AC134" s="18"/>
      <c r="AD134" s="18"/>
    </row>
    <row r="135" spans="1:30" ht="12.75" customHeight="1" x14ac:dyDescent="0.25">
      <c r="A135" s="7">
        <v>46113</v>
      </c>
      <c r="B135" s="8" t="s">
        <v>55</v>
      </c>
      <c r="C135" s="8" t="s">
        <v>56</v>
      </c>
      <c r="D135" s="17" t="s">
        <v>67</v>
      </c>
      <c r="E135" s="8" t="s">
        <v>19</v>
      </c>
      <c r="F135" s="8">
        <v>16</v>
      </c>
      <c r="G135" s="9">
        <v>7</v>
      </c>
      <c r="H135" s="9">
        <v>2</v>
      </c>
      <c r="I135" s="10">
        <f t="shared" si="25"/>
        <v>116</v>
      </c>
      <c r="J135" s="8">
        <v>158</v>
      </c>
      <c r="K135" s="8">
        <f t="shared" si="21"/>
        <v>170</v>
      </c>
      <c r="L135" s="8">
        <v>48</v>
      </c>
      <c r="M135" s="8"/>
      <c r="N135" s="8"/>
      <c r="O135" s="8">
        <f>80+17+16-12+80+13+11-11</f>
        <v>194</v>
      </c>
      <c r="P135" s="11">
        <f t="shared" si="22"/>
        <v>0.59793814432989689</v>
      </c>
      <c r="Q135" s="11">
        <f t="shared" si="23"/>
        <v>0.68235294117647061</v>
      </c>
      <c r="R135" s="12">
        <f t="shared" si="24"/>
        <v>1056000</v>
      </c>
      <c r="S135" s="14" t="s">
        <v>68</v>
      </c>
      <c r="T135" s="18"/>
      <c r="U135" s="18"/>
      <c r="V135" s="18"/>
      <c r="W135" s="18"/>
      <c r="X135" s="18"/>
      <c r="Y135" s="18"/>
      <c r="Z135" s="18"/>
      <c r="AA135" s="18"/>
      <c r="AB135" s="18"/>
      <c r="AC135" s="18"/>
      <c r="AD135" s="18"/>
    </row>
    <row r="136" spans="1:30" ht="12.75" customHeight="1" x14ac:dyDescent="0.25">
      <c r="A136" s="7">
        <v>46113</v>
      </c>
      <c r="B136" s="8" t="s">
        <v>55</v>
      </c>
      <c r="C136" s="8" t="s">
        <v>56</v>
      </c>
      <c r="D136" s="17" t="s">
        <v>69</v>
      </c>
      <c r="E136" s="8" t="s">
        <v>19</v>
      </c>
      <c r="F136" s="8">
        <v>16</v>
      </c>
      <c r="G136" s="9">
        <v>7</v>
      </c>
      <c r="H136" s="9">
        <v>2</v>
      </c>
      <c r="I136" s="10">
        <f t="shared" si="25"/>
        <v>116</v>
      </c>
      <c r="J136" s="8">
        <v>188</v>
      </c>
      <c r="K136" s="8">
        <f t="shared" si="21"/>
        <v>212</v>
      </c>
      <c r="L136" s="8">
        <v>25</v>
      </c>
      <c r="M136" s="8"/>
      <c r="N136" s="8"/>
      <c r="O136" s="8">
        <f>80+18+8+80+12+14-23</f>
        <v>189</v>
      </c>
      <c r="P136" s="11">
        <f t="shared" si="22"/>
        <v>0.61375661375661372</v>
      </c>
      <c r="Q136" s="11">
        <f t="shared" si="23"/>
        <v>0.54716981132075471</v>
      </c>
      <c r="R136" s="12">
        <f t="shared" si="24"/>
        <v>550000</v>
      </c>
      <c r="S136" s="14" t="s">
        <v>70</v>
      </c>
      <c r="T136" s="18"/>
      <c r="U136" s="18"/>
      <c r="V136" s="18"/>
      <c r="W136" s="18"/>
      <c r="X136" s="18"/>
      <c r="Y136" s="18"/>
      <c r="Z136" s="18"/>
      <c r="AA136" s="18"/>
      <c r="AB136" s="18"/>
      <c r="AC136" s="18"/>
      <c r="AD136" s="18"/>
    </row>
    <row r="137" spans="1:30" ht="12.75" customHeight="1" x14ac:dyDescent="0.25">
      <c r="A137" s="7">
        <v>46113</v>
      </c>
      <c r="B137" s="8" t="s">
        <v>55</v>
      </c>
      <c r="C137" s="8" t="s">
        <v>56</v>
      </c>
      <c r="D137" s="17" t="s">
        <v>71</v>
      </c>
      <c r="E137" s="14" t="s">
        <v>21</v>
      </c>
      <c r="F137" s="8">
        <v>17</v>
      </c>
      <c r="G137" s="9">
        <v>16</v>
      </c>
      <c r="H137" s="9">
        <v>4</v>
      </c>
      <c r="I137" s="10">
        <f t="shared" si="25"/>
        <v>276.25</v>
      </c>
      <c r="J137" s="8">
        <v>363</v>
      </c>
      <c r="K137" s="8">
        <f t="shared" si="21"/>
        <v>397.5</v>
      </c>
      <c r="L137" s="8">
        <v>53</v>
      </c>
      <c r="M137" s="8"/>
      <c r="N137" s="8"/>
      <c r="O137" s="8">
        <f>80+13+10-11+80+27.5+22-12+80+16+11-11+79+7-10</f>
        <v>381.5</v>
      </c>
      <c r="P137" s="11">
        <f t="shared" si="22"/>
        <v>0.7241153342070773</v>
      </c>
      <c r="Q137" s="11">
        <f t="shared" si="23"/>
        <v>0.69496855345911945</v>
      </c>
      <c r="R137" s="12">
        <f t="shared" si="24"/>
        <v>1166000</v>
      </c>
      <c r="S137" s="14" t="s">
        <v>72</v>
      </c>
      <c r="T137" s="18"/>
      <c r="U137" s="18"/>
      <c r="V137" s="18"/>
      <c r="W137" s="18"/>
      <c r="X137" s="18"/>
      <c r="Y137" s="18"/>
      <c r="Z137" s="18"/>
      <c r="AA137" s="18"/>
      <c r="AB137" s="18"/>
      <c r="AC137" s="18"/>
      <c r="AD137" s="18"/>
    </row>
    <row r="138" spans="1:30" ht="12.75" customHeight="1" x14ac:dyDescent="0.25">
      <c r="A138" s="7">
        <v>46113</v>
      </c>
      <c r="B138" s="8" t="s">
        <v>55</v>
      </c>
      <c r="C138" s="8" t="s">
        <v>56</v>
      </c>
      <c r="D138" s="17" t="s">
        <v>73</v>
      </c>
      <c r="E138" s="8" t="s">
        <v>19</v>
      </c>
      <c r="F138" s="8">
        <v>16</v>
      </c>
      <c r="G138" s="9">
        <v>4</v>
      </c>
      <c r="H138" s="9">
        <v>1</v>
      </c>
      <c r="I138" s="10">
        <f t="shared" si="25"/>
        <v>68</v>
      </c>
      <c r="J138" s="8">
        <v>75</v>
      </c>
      <c r="K138" s="8">
        <f t="shared" si="21"/>
        <v>89</v>
      </c>
      <c r="L138" s="8">
        <v>1</v>
      </c>
      <c r="M138" s="8"/>
      <c r="N138" s="8"/>
      <c r="O138" s="8">
        <f>80+9+13-12</f>
        <v>90</v>
      </c>
      <c r="P138" s="11">
        <f t="shared" si="22"/>
        <v>0.75555555555555554</v>
      </c>
      <c r="Q138" s="11">
        <f t="shared" si="23"/>
        <v>0.7640449438202247</v>
      </c>
      <c r="R138" s="12">
        <f t="shared" si="24"/>
        <v>22000</v>
      </c>
      <c r="S138" s="14" t="s">
        <v>74</v>
      </c>
      <c r="T138" s="18"/>
      <c r="U138" s="18"/>
      <c r="V138" s="18"/>
      <c r="W138" s="18"/>
      <c r="X138" s="18"/>
      <c r="Y138" s="18"/>
      <c r="Z138" s="18"/>
      <c r="AA138" s="18"/>
      <c r="AB138" s="18"/>
      <c r="AC138" s="18"/>
      <c r="AD138" s="18"/>
    </row>
    <row r="139" spans="1:30" ht="12.75" customHeight="1" x14ac:dyDescent="0.25">
      <c r="A139" s="7">
        <v>46113</v>
      </c>
      <c r="B139" s="8" t="s">
        <v>55</v>
      </c>
      <c r="C139" s="8" t="s">
        <v>56</v>
      </c>
      <c r="D139" s="17" t="s">
        <v>75</v>
      </c>
      <c r="E139" s="8" t="s">
        <v>19</v>
      </c>
      <c r="F139" s="8">
        <v>20</v>
      </c>
      <c r="G139" s="9">
        <f>+(600+1200+3000+3000+1200+1200+1200+1200)/3600</f>
        <v>3.5</v>
      </c>
      <c r="H139" s="9">
        <v>1</v>
      </c>
      <c r="I139" s="10">
        <f t="shared" si="25"/>
        <v>75</v>
      </c>
      <c r="J139" s="8">
        <v>98</v>
      </c>
      <c r="K139" s="8">
        <f t="shared" si="21"/>
        <v>137.19999999999999</v>
      </c>
      <c r="L139" s="8">
        <v>2</v>
      </c>
      <c r="M139" s="8"/>
      <c r="N139" s="8"/>
      <c r="O139" s="8">
        <f>80+49+22.2-12</f>
        <v>139.19999999999999</v>
      </c>
      <c r="P139" s="11">
        <f t="shared" si="22"/>
        <v>0.53879310344827591</v>
      </c>
      <c r="Q139" s="11">
        <f t="shared" si="23"/>
        <v>0.54664723032069973</v>
      </c>
      <c r="R139" s="12">
        <f t="shared" si="24"/>
        <v>44000</v>
      </c>
      <c r="S139" s="14" t="s">
        <v>76</v>
      </c>
      <c r="T139" s="18"/>
      <c r="U139" s="18"/>
      <c r="V139" s="18"/>
      <c r="W139" s="18"/>
      <c r="X139" s="18"/>
      <c r="Y139" s="18"/>
      <c r="Z139" s="18"/>
      <c r="AA139" s="18"/>
      <c r="AB139" s="18"/>
      <c r="AC139" s="18"/>
      <c r="AD139" s="18"/>
    </row>
    <row r="140" spans="1:30" ht="12.75" customHeight="1" x14ac:dyDescent="0.25">
      <c r="A140" s="7">
        <v>46113</v>
      </c>
      <c r="B140" s="8" t="s">
        <v>55</v>
      </c>
      <c r="C140" s="8" t="s">
        <v>56</v>
      </c>
      <c r="D140" s="17" t="s">
        <v>81</v>
      </c>
      <c r="E140" s="8" t="s">
        <v>19</v>
      </c>
      <c r="F140" s="8">
        <v>8</v>
      </c>
      <c r="G140" s="9">
        <v>3</v>
      </c>
      <c r="H140" s="9">
        <v>2</v>
      </c>
      <c r="I140" s="10">
        <f t="shared" si="25"/>
        <v>26</v>
      </c>
      <c r="J140" s="19">
        <v>60</v>
      </c>
      <c r="K140" s="8">
        <f t="shared" si="21"/>
        <v>68.5</v>
      </c>
      <c r="L140" s="8">
        <v>11</v>
      </c>
      <c r="M140" s="8"/>
      <c r="N140" s="8"/>
      <c r="O140" s="8">
        <f>212*0.375</f>
        <v>79.5</v>
      </c>
      <c r="P140" s="11">
        <f t="shared" si="22"/>
        <v>0.32704402515723269</v>
      </c>
      <c r="Q140" s="11">
        <f t="shared" si="23"/>
        <v>0.37956204379562042</v>
      </c>
      <c r="R140" s="12">
        <f t="shared" si="24"/>
        <v>242000</v>
      </c>
      <c r="S140" s="14" t="s">
        <v>80</v>
      </c>
      <c r="T140" s="18"/>
      <c r="U140" s="18"/>
      <c r="V140" s="18"/>
      <c r="W140" s="18"/>
      <c r="X140" s="18"/>
      <c r="Y140" s="18"/>
      <c r="Z140" s="18"/>
      <c r="AA140" s="18"/>
      <c r="AB140" s="18"/>
      <c r="AC140" s="18"/>
      <c r="AD140" s="18"/>
    </row>
    <row r="141" spans="1:30" ht="12.75" customHeight="1" x14ac:dyDescent="0.25">
      <c r="A141" s="7">
        <v>46113</v>
      </c>
      <c r="B141" s="8" t="s">
        <v>55</v>
      </c>
      <c r="C141" s="8" t="s">
        <v>56</v>
      </c>
      <c r="D141" s="17" t="s">
        <v>77</v>
      </c>
      <c r="E141" s="8" t="s">
        <v>19</v>
      </c>
      <c r="F141" s="8">
        <v>17</v>
      </c>
      <c r="G141" s="9">
        <v>8</v>
      </c>
      <c r="H141" s="9">
        <v>2</v>
      </c>
      <c r="I141" s="10">
        <f t="shared" si="25"/>
        <v>140.25</v>
      </c>
      <c r="J141" s="8">
        <v>179</v>
      </c>
      <c r="K141" s="8">
        <f t="shared" si="21"/>
        <v>201.5</v>
      </c>
      <c r="L141" s="8">
        <v>2</v>
      </c>
      <c r="M141" s="8"/>
      <c r="N141" s="8"/>
      <c r="O141" s="8">
        <f>80+22.5+16-12+80+17+11-11</f>
        <v>203.5</v>
      </c>
      <c r="P141" s="11">
        <f t="shared" si="22"/>
        <v>0.68918918918918914</v>
      </c>
      <c r="Q141" s="11">
        <f t="shared" si="23"/>
        <v>0.69602977667493793</v>
      </c>
      <c r="R141" s="12">
        <f t="shared" si="24"/>
        <v>44000</v>
      </c>
      <c r="S141" s="14" t="s">
        <v>78</v>
      </c>
      <c r="T141" s="18"/>
      <c r="U141" s="18"/>
      <c r="V141" s="18"/>
      <c r="W141" s="18"/>
      <c r="X141" s="18"/>
      <c r="Y141" s="18"/>
      <c r="Z141" s="18"/>
      <c r="AA141" s="18"/>
      <c r="AB141" s="18"/>
      <c r="AC141" s="18"/>
      <c r="AD141" s="18"/>
    </row>
    <row r="142" spans="1:30" ht="12.75" customHeight="1" x14ac:dyDescent="0.25">
      <c r="A142" s="7">
        <v>46113</v>
      </c>
      <c r="B142" s="8" t="s">
        <v>55</v>
      </c>
      <c r="C142" s="8" t="s">
        <v>56</v>
      </c>
      <c r="D142" s="17" t="s">
        <v>79</v>
      </c>
      <c r="E142" s="8" t="s">
        <v>19</v>
      </c>
      <c r="F142" s="8">
        <v>17</v>
      </c>
      <c r="G142" s="9">
        <v>5</v>
      </c>
      <c r="H142" s="9">
        <v>2</v>
      </c>
      <c r="I142" s="20">
        <f t="shared" si="25"/>
        <v>89.25</v>
      </c>
      <c r="J142" s="19">
        <v>98</v>
      </c>
      <c r="K142" s="8">
        <f t="shared" si="21"/>
        <v>112.5</v>
      </c>
      <c r="L142" s="8">
        <v>20</v>
      </c>
      <c r="M142" s="28"/>
      <c r="N142" s="28"/>
      <c r="O142" s="28">
        <f>(62+1+10-11+80+56+26-12)*0.625</f>
        <v>132.5</v>
      </c>
      <c r="P142" s="11">
        <f t="shared" si="22"/>
        <v>0.67358490566037732</v>
      </c>
      <c r="Q142" s="11">
        <f t="shared" si="23"/>
        <v>0.79333333333333333</v>
      </c>
      <c r="R142" s="12">
        <f t="shared" si="24"/>
        <v>440000</v>
      </c>
      <c r="S142" s="14" t="s">
        <v>80</v>
      </c>
      <c r="T142" s="18"/>
      <c r="U142" s="18"/>
      <c r="V142" s="18"/>
      <c r="W142" s="18"/>
      <c r="X142" s="18"/>
      <c r="Y142" s="18"/>
      <c r="Z142" s="18"/>
      <c r="AA142" s="18"/>
      <c r="AB142" s="18"/>
      <c r="AC142" s="18"/>
      <c r="AD142" s="18"/>
    </row>
    <row r="143" spans="1:30" ht="12.75" customHeight="1" x14ac:dyDescent="0.25">
      <c r="A143" s="7">
        <v>46113</v>
      </c>
      <c r="B143" s="8" t="s">
        <v>55</v>
      </c>
      <c r="C143" s="8" t="s">
        <v>56</v>
      </c>
      <c r="D143" s="17" t="s">
        <v>82</v>
      </c>
      <c r="E143" s="8" t="s">
        <v>19</v>
      </c>
      <c r="F143" s="8">
        <v>101</v>
      </c>
      <c r="G143" s="9">
        <v>0.5</v>
      </c>
      <c r="H143" s="9">
        <v>2</v>
      </c>
      <c r="I143" s="10">
        <f t="shared" si="25"/>
        <v>75.75</v>
      </c>
      <c r="J143" s="8">
        <v>54</v>
      </c>
      <c r="K143" s="8">
        <f t="shared" si="21"/>
        <v>91.18</v>
      </c>
      <c r="L143" s="8">
        <v>49</v>
      </c>
      <c r="M143" s="8"/>
      <c r="N143" s="8"/>
      <c r="O143" s="8">
        <f>163*0.86</f>
        <v>140.18</v>
      </c>
      <c r="P143" s="11">
        <f t="shared" si="22"/>
        <v>0.54037665858182338</v>
      </c>
      <c r="Q143" s="11">
        <f t="shared" si="23"/>
        <v>0.83077429260802804</v>
      </c>
      <c r="R143" s="12">
        <f t="shared" si="24"/>
        <v>1078000</v>
      </c>
      <c r="S143" s="14" t="s">
        <v>83</v>
      </c>
      <c r="T143" s="18"/>
      <c r="U143" s="18"/>
      <c r="V143" s="18"/>
      <c r="W143" s="18"/>
      <c r="X143" s="18"/>
      <c r="Y143" s="18"/>
      <c r="Z143" s="18"/>
      <c r="AA143" s="18"/>
      <c r="AB143" s="18"/>
      <c r="AC143" s="18"/>
      <c r="AD143" s="18"/>
    </row>
    <row r="144" spans="1:30" ht="12.75" customHeight="1" x14ac:dyDescent="0.25">
      <c r="A144" s="7">
        <v>46113</v>
      </c>
      <c r="B144" s="8" t="s">
        <v>55</v>
      </c>
      <c r="C144" s="8" t="s">
        <v>56</v>
      </c>
      <c r="D144" s="17" t="s">
        <v>84</v>
      </c>
      <c r="E144" s="8" t="s">
        <v>19</v>
      </c>
      <c r="F144" s="8">
        <v>11</v>
      </c>
      <c r="G144" s="9">
        <v>0.8</v>
      </c>
      <c r="H144" s="9">
        <v>2</v>
      </c>
      <c r="I144" s="10">
        <f t="shared" si="25"/>
        <v>11.55</v>
      </c>
      <c r="J144" s="8">
        <v>7</v>
      </c>
      <c r="K144" s="8">
        <f t="shared" si="21"/>
        <v>24.45</v>
      </c>
      <c r="L144" s="8">
        <v>0</v>
      </c>
      <c r="M144" s="8"/>
      <c r="N144" s="8"/>
      <c r="O144" s="8">
        <f>163*0.15</f>
        <v>24.45</v>
      </c>
      <c r="P144" s="11">
        <f>+I144/O144</f>
        <v>0.47239263803680986</v>
      </c>
      <c r="Q144" s="11">
        <f>+I144/K144</f>
        <v>0.47239263803680986</v>
      </c>
      <c r="R144" s="12">
        <f t="shared" si="24"/>
        <v>0</v>
      </c>
      <c r="S144" s="14" t="s">
        <v>83</v>
      </c>
      <c r="T144" s="18"/>
      <c r="U144" s="18"/>
      <c r="V144" s="18"/>
      <c r="W144" s="18"/>
      <c r="X144" s="18"/>
      <c r="Y144" s="18"/>
      <c r="Z144" s="18"/>
      <c r="AA144" s="18"/>
      <c r="AB144" s="18"/>
      <c r="AC144" s="18"/>
      <c r="AD144" s="18"/>
    </row>
    <row r="145" spans="1:30" ht="12.75" customHeight="1" x14ac:dyDescent="0.25">
      <c r="A145" s="7">
        <v>46113</v>
      </c>
      <c r="B145" s="8" t="s">
        <v>33</v>
      </c>
      <c r="C145" s="8" t="s">
        <v>61</v>
      </c>
      <c r="D145" s="8" t="s">
        <v>62</v>
      </c>
      <c r="E145" s="14" t="s">
        <v>19</v>
      </c>
      <c r="F145" s="29">
        <v>113</v>
      </c>
      <c r="G145" s="30"/>
      <c r="H145" s="30">
        <v>3</v>
      </c>
      <c r="I145" s="31">
        <v>338</v>
      </c>
      <c r="J145" s="29">
        <v>422</v>
      </c>
      <c r="K145" s="29">
        <f t="shared" si="21"/>
        <v>865</v>
      </c>
      <c r="L145" s="29">
        <v>21</v>
      </c>
      <c r="M145" s="8"/>
      <c r="N145" s="8"/>
      <c r="O145" s="8"/>
      <c r="P145" s="11" t="e">
        <f t="shared" ref="P145:P171" si="26">+I145/O145</f>
        <v>#DIV/0!</v>
      </c>
      <c r="Q145" s="11">
        <f t="shared" ref="Q145:Q171" si="27">+I145/K145</f>
        <v>0.39075144508670523</v>
      </c>
      <c r="R145" s="12">
        <f t="shared" si="24"/>
        <v>462000</v>
      </c>
      <c r="S145" s="8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</row>
    <row r="146" spans="1:30" ht="12.75" customHeight="1" x14ac:dyDescent="0.25">
      <c r="A146" s="7">
        <v>46113</v>
      </c>
      <c r="B146" s="8" t="s">
        <v>33</v>
      </c>
      <c r="C146" s="8" t="s">
        <v>63</v>
      </c>
      <c r="D146" s="8" t="s">
        <v>64</v>
      </c>
      <c r="E146" s="14" t="s">
        <v>19</v>
      </c>
      <c r="F146" s="29">
        <v>27</v>
      </c>
      <c r="G146" s="30"/>
      <c r="H146" s="30">
        <v>4</v>
      </c>
      <c r="I146" s="31">
        <v>315</v>
      </c>
      <c r="J146" s="29">
        <v>324</v>
      </c>
      <c r="K146" s="29">
        <f t="shared" si="21"/>
        <v>673</v>
      </c>
      <c r="L146" s="29">
        <v>25</v>
      </c>
      <c r="M146" s="8"/>
      <c r="N146" s="8"/>
      <c r="O146" s="8"/>
      <c r="P146" s="11" t="e">
        <f t="shared" si="26"/>
        <v>#DIV/0!</v>
      </c>
      <c r="Q146" s="11">
        <f t="shared" si="27"/>
        <v>0.46805349182763745</v>
      </c>
      <c r="R146" s="12">
        <f t="shared" si="24"/>
        <v>550000</v>
      </c>
      <c r="S146" s="8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</row>
    <row r="147" spans="1:30" ht="12.75" customHeight="1" x14ac:dyDescent="0.25">
      <c r="A147" s="7">
        <v>46113</v>
      </c>
      <c r="B147" s="8" t="s">
        <v>33</v>
      </c>
      <c r="C147" s="8" t="s">
        <v>63</v>
      </c>
      <c r="D147" s="8" t="s">
        <v>65</v>
      </c>
      <c r="E147" s="14" t="s">
        <v>19</v>
      </c>
      <c r="F147" s="29">
        <v>27</v>
      </c>
      <c r="G147" s="30"/>
      <c r="H147" s="30">
        <v>4</v>
      </c>
      <c r="I147" s="31">
        <v>331</v>
      </c>
      <c r="J147" s="29">
        <v>292</v>
      </c>
      <c r="K147" s="29">
        <f t="shared" si="21"/>
        <v>603</v>
      </c>
      <c r="L147" s="29">
        <v>19</v>
      </c>
      <c r="M147" s="8"/>
      <c r="N147" s="8"/>
      <c r="O147" s="8"/>
      <c r="P147" s="11" t="e">
        <f t="shared" si="26"/>
        <v>#DIV/0!</v>
      </c>
      <c r="Q147" s="11">
        <f t="shared" si="27"/>
        <v>0.54892205638474301</v>
      </c>
      <c r="R147" s="12">
        <f t="shared" si="24"/>
        <v>418000</v>
      </c>
      <c r="S147" s="8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</row>
    <row r="148" spans="1:30" ht="12.75" customHeight="1" x14ac:dyDescent="0.25">
      <c r="A148" s="7">
        <v>46113</v>
      </c>
      <c r="B148" s="8" t="s">
        <v>33</v>
      </c>
      <c r="C148" s="8" t="s">
        <v>63</v>
      </c>
      <c r="D148" s="8" t="s">
        <v>66</v>
      </c>
      <c r="E148" s="14" t="s">
        <v>19</v>
      </c>
      <c r="F148" s="29">
        <v>41</v>
      </c>
      <c r="G148" s="30"/>
      <c r="H148" s="30">
        <v>4</v>
      </c>
      <c r="I148" s="31">
        <v>416</v>
      </c>
      <c r="J148" s="29">
        <v>345</v>
      </c>
      <c r="K148" s="29">
        <f t="shared" si="21"/>
        <v>706</v>
      </c>
      <c r="L148" s="29">
        <v>16</v>
      </c>
      <c r="M148" s="8"/>
      <c r="N148" s="8"/>
      <c r="O148" s="8"/>
      <c r="P148" s="11" t="e">
        <f t="shared" si="26"/>
        <v>#DIV/0!</v>
      </c>
      <c r="Q148" s="11">
        <f t="shared" si="27"/>
        <v>0.58923512747875351</v>
      </c>
      <c r="R148" s="12">
        <f t="shared" si="24"/>
        <v>352000</v>
      </c>
      <c r="S148" s="8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</row>
    <row r="149" spans="1:30" ht="12.75" customHeight="1" x14ac:dyDescent="0.25">
      <c r="A149" s="7">
        <v>46113</v>
      </c>
      <c r="B149" s="8" t="s">
        <v>33</v>
      </c>
      <c r="C149" s="8" t="s">
        <v>63</v>
      </c>
      <c r="D149" s="8" t="s">
        <v>85</v>
      </c>
      <c r="E149" s="14" t="s">
        <v>19</v>
      </c>
      <c r="F149" s="34">
        <v>36</v>
      </c>
      <c r="G149" s="35"/>
      <c r="H149" s="35">
        <v>2</v>
      </c>
      <c r="I149" s="36">
        <v>165</v>
      </c>
      <c r="J149" s="34">
        <v>97</v>
      </c>
      <c r="K149" s="34">
        <f t="shared" si="21"/>
        <v>201</v>
      </c>
      <c r="L149" s="34">
        <v>7</v>
      </c>
      <c r="M149" s="28"/>
      <c r="N149" s="28"/>
      <c r="O149" s="28"/>
      <c r="P149" s="11" t="e">
        <f t="shared" si="26"/>
        <v>#DIV/0!</v>
      </c>
      <c r="Q149" s="11">
        <f t="shared" si="27"/>
        <v>0.82089552238805974</v>
      </c>
      <c r="R149" s="37">
        <f t="shared" si="24"/>
        <v>154000</v>
      </c>
      <c r="S149" s="28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</row>
    <row r="150" spans="1:30" ht="12.75" customHeight="1" x14ac:dyDescent="0.25">
      <c r="A150" s="7">
        <v>46113</v>
      </c>
      <c r="B150" s="8" t="s">
        <v>87</v>
      </c>
      <c r="C150" s="8" t="s">
        <v>25</v>
      </c>
      <c r="D150" s="8" t="s">
        <v>51</v>
      </c>
      <c r="E150" s="32" t="s">
        <v>19</v>
      </c>
      <c r="F150" s="38">
        <v>25</v>
      </c>
      <c r="G150" s="39"/>
      <c r="H150" s="39">
        <v>1</v>
      </c>
      <c r="I150" s="42">
        <v>56.25</v>
      </c>
      <c r="J150" s="38">
        <v>50</v>
      </c>
      <c r="K150" s="34">
        <f t="shared" si="21"/>
        <v>150</v>
      </c>
      <c r="L150" s="38">
        <v>50</v>
      </c>
      <c r="M150" s="38"/>
      <c r="N150" s="38"/>
      <c r="O150" s="38"/>
      <c r="P150" s="11" t="e">
        <f t="shared" si="26"/>
        <v>#DIV/0!</v>
      </c>
      <c r="Q150" s="11">
        <f t="shared" si="27"/>
        <v>0.375</v>
      </c>
      <c r="R150" s="37">
        <f t="shared" si="24"/>
        <v>1100000</v>
      </c>
      <c r="S150" s="38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</row>
    <row r="151" spans="1:30" ht="12.75" customHeight="1" x14ac:dyDescent="0.25">
      <c r="A151" s="7">
        <v>46113</v>
      </c>
      <c r="B151" s="8" t="s">
        <v>87</v>
      </c>
      <c r="C151" s="8" t="s">
        <v>25</v>
      </c>
      <c r="D151" s="8" t="s">
        <v>26</v>
      </c>
      <c r="E151" s="32" t="s">
        <v>19</v>
      </c>
      <c r="F151" s="38">
        <v>25</v>
      </c>
      <c r="G151" s="39"/>
      <c r="H151" s="39">
        <v>1</v>
      </c>
      <c r="I151" s="42">
        <v>106.25</v>
      </c>
      <c r="J151" s="38">
        <v>111</v>
      </c>
      <c r="K151" s="34">
        <f t="shared" si="21"/>
        <v>236</v>
      </c>
      <c r="L151" s="38">
        <v>14</v>
      </c>
      <c r="M151" s="38"/>
      <c r="N151" s="38"/>
      <c r="O151" s="38"/>
      <c r="P151" s="11" t="e">
        <f t="shared" si="26"/>
        <v>#DIV/0!</v>
      </c>
      <c r="Q151" s="11">
        <f t="shared" si="27"/>
        <v>0.45021186440677968</v>
      </c>
      <c r="R151" s="37">
        <f t="shared" si="24"/>
        <v>308000</v>
      </c>
      <c r="S151" s="38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</row>
    <row r="152" spans="1:30" ht="12.75" customHeight="1" x14ac:dyDescent="0.25">
      <c r="A152" s="7">
        <v>46113</v>
      </c>
      <c r="B152" s="8" t="s">
        <v>87</v>
      </c>
      <c r="C152" s="8" t="s">
        <v>25</v>
      </c>
      <c r="D152" s="8" t="s">
        <v>27</v>
      </c>
      <c r="E152" s="32" t="s">
        <v>19</v>
      </c>
      <c r="F152" s="38">
        <v>11</v>
      </c>
      <c r="G152" s="39"/>
      <c r="H152" s="39">
        <v>1</v>
      </c>
      <c r="I152" s="42">
        <v>71.680000000000007</v>
      </c>
      <c r="J152" s="38">
        <v>96</v>
      </c>
      <c r="K152" s="34">
        <f t="shared" si="21"/>
        <v>197</v>
      </c>
      <c r="L152" s="38">
        <v>5</v>
      </c>
      <c r="M152" s="38"/>
      <c r="N152" s="38"/>
      <c r="O152" s="38"/>
      <c r="P152" s="11" t="e">
        <f t="shared" si="26"/>
        <v>#DIV/0!</v>
      </c>
      <c r="Q152" s="11">
        <f t="shared" si="27"/>
        <v>0.36385786802030462</v>
      </c>
      <c r="R152" s="37">
        <f t="shared" si="24"/>
        <v>110000</v>
      </c>
      <c r="S152" s="38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</row>
    <row r="153" spans="1:30" ht="12.75" customHeight="1" x14ac:dyDescent="0.25">
      <c r="A153" s="7">
        <v>46113</v>
      </c>
      <c r="B153" s="8" t="s">
        <v>87</v>
      </c>
      <c r="C153" s="8" t="s">
        <v>25</v>
      </c>
      <c r="D153" s="8" t="s">
        <v>28</v>
      </c>
      <c r="E153" s="32" t="s">
        <v>19</v>
      </c>
      <c r="F153" s="38">
        <v>9</v>
      </c>
      <c r="G153" s="39"/>
      <c r="H153" s="39">
        <v>1</v>
      </c>
      <c r="I153" s="42">
        <v>58.65</v>
      </c>
      <c r="J153" s="38">
        <v>80</v>
      </c>
      <c r="K153" s="34">
        <f t="shared" si="21"/>
        <v>167</v>
      </c>
      <c r="L153" s="38">
        <v>7</v>
      </c>
      <c r="M153" s="38"/>
      <c r="N153" s="38"/>
      <c r="O153" s="38"/>
      <c r="P153" s="11" t="e">
        <f t="shared" si="26"/>
        <v>#DIV/0!</v>
      </c>
      <c r="Q153" s="11">
        <f t="shared" si="27"/>
        <v>0.35119760479041917</v>
      </c>
      <c r="R153" s="37">
        <f t="shared" si="24"/>
        <v>154000</v>
      </c>
      <c r="S153" s="38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</row>
    <row r="154" spans="1:30" ht="12.75" customHeight="1" x14ac:dyDescent="0.25">
      <c r="A154" s="7">
        <v>46113</v>
      </c>
      <c r="B154" s="8" t="s">
        <v>87</v>
      </c>
      <c r="C154" s="8" t="s">
        <v>25</v>
      </c>
      <c r="D154" s="8" t="s">
        <v>29</v>
      </c>
      <c r="E154" s="32" t="s">
        <v>19</v>
      </c>
      <c r="F154" s="38">
        <v>24</v>
      </c>
      <c r="G154" s="39"/>
      <c r="H154" s="39">
        <v>1</v>
      </c>
      <c r="I154" s="42">
        <v>78</v>
      </c>
      <c r="J154" s="38">
        <v>98</v>
      </c>
      <c r="K154" s="34">
        <f t="shared" si="21"/>
        <v>209</v>
      </c>
      <c r="L154" s="38">
        <v>13</v>
      </c>
      <c r="M154" s="38"/>
      <c r="N154" s="38"/>
      <c r="O154" s="38"/>
      <c r="P154" s="11" t="e">
        <f t="shared" si="26"/>
        <v>#DIV/0!</v>
      </c>
      <c r="Q154" s="11">
        <f t="shared" si="27"/>
        <v>0.37320574162679426</v>
      </c>
      <c r="R154" s="37">
        <f t="shared" si="24"/>
        <v>286000</v>
      </c>
      <c r="S154" s="38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</row>
    <row r="155" spans="1:30" ht="12.75" customHeight="1" x14ac:dyDescent="0.25">
      <c r="A155" s="7">
        <v>46113</v>
      </c>
      <c r="B155" s="8" t="s">
        <v>87</v>
      </c>
      <c r="C155" s="8" t="s">
        <v>25</v>
      </c>
      <c r="D155" s="8" t="s">
        <v>30</v>
      </c>
      <c r="E155" s="32" t="s">
        <v>19</v>
      </c>
      <c r="F155" s="38">
        <v>24</v>
      </c>
      <c r="G155" s="39"/>
      <c r="H155" s="39">
        <v>1</v>
      </c>
      <c r="I155" s="42">
        <v>61.44</v>
      </c>
      <c r="J155" s="38">
        <v>68</v>
      </c>
      <c r="K155" s="34">
        <f t="shared" si="21"/>
        <v>155</v>
      </c>
      <c r="L155" s="38">
        <v>19</v>
      </c>
      <c r="M155" s="38"/>
      <c r="N155" s="38"/>
      <c r="O155" s="38"/>
      <c r="P155" s="11" t="e">
        <f t="shared" si="26"/>
        <v>#DIV/0!</v>
      </c>
      <c r="Q155" s="11">
        <f t="shared" si="27"/>
        <v>0.39638709677419354</v>
      </c>
      <c r="R155" s="37">
        <f t="shared" si="24"/>
        <v>418000</v>
      </c>
      <c r="S155" s="38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</row>
    <row r="156" spans="1:30" ht="12.75" customHeight="1" x14ac:dyDescent="0.25">
      <c r="A156" s="7">
        <v>46113</v>
      </c>
      <c r="B156" s="8" t="s">
        <v>87</v>
      </c>
      <c r="C156" s="8" t="s">
        <v>25</v>
      </c>
      <c r="D156" s="8" t="s">
        <v>31</v>
      </c>
      <c r="E156" s="32" t="s">
        <v>19</v>
      </c>
      <c r="F156" s="38">
        <v>31</v>
      </c>
      <c r="G156" s="39"/>
      <c r="H156" s="39">
        <v>1</v>
      </c>
      <c r="I156" s="42">
        <v>74.400000000000006</v>
      </c>
      <c r="J156" s="38">
        <v>83</v>
      </c>
      <c r="K156" s="34">
        <f t="shared" si="21"/>
        <v>191</v>
      </c>
      <c r="L156" s="38">
        <v>25</v>
      </c>
      <c r="M156" s="38"/>
      <c r="N156" s="38"/>
      <c r="O156" s="38"/>
      <c r="P156" s="11" t="e">
        <f t="shared" si="26"/>
        <v>#DIV/0!</v>
      </c>
      <c r="Q156" s="11">
        <f t="shared" si="27"/>
        <v>0.38952879581151834</v>
      </c>
      <c r="R156" s="37">
        <f t="shared" si="24"/>
        <v>550000</v>
      </c>
      <c r="S156" s="38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</row>
    <row r="157" spans="1:30" ht="12.75" customHeight="1" x14ac:dyDescent="0.25">
      <c r="A157" s="7">
        <v>46113</v>
      </c>
      <c r="B157" s="8" t="s">
        <v>87</v>
      </c>
      <c r="C157" s="8" t="s">
        <v>25</v>
      </c>
      <c r="D157" s="8" t="s">
        <v>32</v>
      </c>
      <c r="E157" s="33" t="s">
        <v>21</v>
      </c>
      <c r="F157" s="38">
        <v>10</v>
      </c>
      <c r="G157" s="39"/>
      <c r="H157" s="39">
        <v>2</v>
      </c>
      <c r="I157" s="42">
        <v>135.5</v>
      </c>
      <c r="J157" s="38">
        <v>125</v>
      </c>
      <c r="K157" s="34">
        <f t="shared" si="21"/>
        <v>281</v>
      </c>
      <c r="L157" s="38">
        <v>31</v>
      </c>
      <c r="M157" s="38"/>
      <c r="N157" s="38"/>
      <c r="O157" s="38"/>
      <c r="P157" s="11" t="e">
        <f t="shared" si="26"/>
        <v>#DIV/0!</v>
      </c>
      <c r="Q157" s="11">
        <f t="shared" si="27"/>
        <v>0.48220640569395018</v>
      </c>
      <c r="R157" s="37">
        <f t="shared" si="24"/>
        <v>682000</v>
      </c>
      <c r="S157" s="38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</row>
    <row r="158" spans="1:30" ht="12.75" customHeight="1" x14ac:dyDescent="0.25">
      <c r="A158" s="7">
        <v>46113</v>
      </c>
      <c r="B158" s="8" t="s">
        <v>87</v>
      </c>
      <c r="C158" s="8" t="s">
        <v>25</v>
      </c>
      <c r="D158" s="8" t="s">
        <v>36</v>
      </c>
      <c r="E158" s="33" t="s">
        <v>21</v>
      </c>
      <c r="F158" s="38">
        <v>13</v>
      </c>
      <c r="G158" s="39"/>
      <c r="H158" s="39">
        <v>2</v>
      </c>
      <c r="I158" s="42">
        <v>216.36</v>
      </c>
      <c r="J158" s="38">
        <v>119</v>
      </c>
      <c r="K158" s="34">
        <f t="shared" si="21"/>
        <v>322</v>
      </c>
      <c r="L158" s="38">
        <v>84</v>
      </c>
      <c r="M158" s="38"/>
      <c r="N158" s="38"/>
      <c r="O158" s="38"/>
      <c r="P158" s="11" t="e">
        <f t="shared" si="26"/>
        <v>#DIV/0!</v>
      </c>
      <c r="Q158" s="11">
        <f t="shared" si="27"/>
        <v>0.67192546583850932</v>
      </c>
      <c r="R158" s="37">
        <f t="shared" si="24"/>
        <v>1848000</v>
      </c>
      <c r="S158" s="38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</row>
    <row r="159" spans="1:30" ht="12.75" customHeight="1" x14ac:dyDescent="0.25">
      <c r="A159" s="7">
        <v>46113</v>
      </c>
      <c r="B159" s="8" t="s">
        <v>88</v>
      </c>
      <c r="C159" s="8" t="s">
        <v>89</v>
      </c>
      <c r="D159" s="8" t="s">
        <v>37</v>
      </c>
      <c r="E159" s="32" t="s">
        <v>19</v>
      </c>
      <c r="F159" s="41">
        <v>11</v>
      </c>
      <c r="G159" s="9">
        <v>9.1999999999999993</v>
      </c>
      <c r="H159" s="9">
        <v>2</v>
      </c>
      <c r="I159" s="10">
        <f t="shared" ref="I159:I171" si="28">(G159*F159)+0.25*F159</f>
        <v>103.94999999999999</v>
      </c>
      <c r="J159" s="38">
        <v>156</v>
      </c>
      <c r="K159" s="34">
        <f t="shared" si="21"/>
        <v>329.4</v>
      </c>
      <c r="L159" s="38">
        <v>17.399999999999999</v>
      </c>
      <c r="M159" s="38"/>
      <c r="N159" s="38"/>
      <c r="O159" s="38"/>
      <c r="P159" s="11" t="e">
        <f t="shared" si="26"/>
        <v>#DIV/0!</v>
      </c>
      <c r="Q159" s="11">
        <f t="shared" si="27"/>
        <v>0.31557377049180324</v>
      </c>
      <c r="R159" s="37">
        <f t="shared" si="24"/>
        <v>382799.99999999994</v>
      </c>
      <c r="S159" s="38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</row>
    <row r="160" spans="1:30" ht="12.75" customHeight="1" x14ac:dyDescent="0.25">
      <c r="A160" s="7">
        <v>46113</v>
      </c>
      <c r="B160" s="8" t="s">
        <v>88</v>
      </c>
      <c r="C160" s="8" t="s">
        <v>89</v>
      </c>
      <c r="D160" s="8" t="s">
        <v>38</v>
      </c>
      <c r="E160" s="32" t="s">
        <v>19</v>
      </c>
      <c r="F160" s="38">
        <v>11</v>
      </c>
      <c r="G160" s="9">
        <v>7.61</v>
      </c>
      <c r="H160" s="9">
        <v>2</v>
      </c>
      <c r="I160" s="10">
        <f t="shared" si="28"/>
        <v>86.460000000000008</v>
      </c>
      <c r="J160" s="38">
        <v>206</v>
      </c>
      <c r="K160" s="34">
        <f t="shared" si="21"/>
        <v>424.6</v>
      </c>
      <c r="L160" s="38">
        <v>12.6</v>
      </c>
      <c r="M160" s="38"/>
      <c r="N160" s="38"/>
      <c r="O160" s="38"/>
      <c r="P160" s="11" t="e">
        <f t="shared" si="26"/>
        <v>#DIV/0!</v>
      </c>
      <c r="Q160" s="11">
        <f t="shared" si="27"/>
        <v>0.20362694300518136</v>
      </c>
      <c r="R160" s="37">
        <f t="shared" si="24"/>
        <v>277200</v>
      </c>
      <c r="S160" s="38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</row>
    <row r="161" spans="1:30" ht="12.75" customHeight="1" x14ac:dyDescent="0.25">
      <c r="A161" s="7">
        <v>46113</v>
      </c>
      <c r="B161" s="8" t="s">
        <v>88</v>
      </c>
      <c r="C161" s="8" t="s">
        <v>89</v>
      </c>
      <c r="D161" s="8" t="s">
        <v>39</v>
      </c>
      <c r="E161" s="32" t="s">
        <v>19</v>
      </c>
      <c r="F161" s="38">
        <v>13</v>
      </c>
      <c r="G161" s="9">
        <v>12.98</v>
      </c>
      <c r="H161" s="9">
        <v>3</v>
      </c>
      <c r="I161" s="10">
        <f t="shared" si="28"/>
        <v>171.99</v>
      </c>
      <c r="J161" s="38">
        <v>265</v>
      </c>
      <c r="K161" s="34">
        <f t="shared" si="21"/>
        <v>538.6</v>
      </c>
      <c r="L161" s="38">
        <v>8.6</v>
      </c>
      <c r="M161" s="38"/>
      <c r="N161" s="38"/>
      <c r="O161" s="38"/>
      <c r="P161" s="11" t="e">
        <f t="shared" si="26"/>
        <v>#DIV/0!</v>
      </c>
      <c r="Q161" s="11">
        <f t="shared" si="27"/>
        <v>0.31932788711474192</v>
      </c>
      <c r="R161" s="37">
        <f t="shared" si="24"/>
        <v>189200</v>
      </c>
      <c r="S161" s="38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</row>
    <row r="162" spans="1:30" ht="12.75" customHeight="1" x14ac:dyDescent="0.25">
      <c r="A162" s="7">
        <v>46113</v>
      </c>
      <c r="B162" s="8" t="s">
        <v>88</v>
      </c>
      <c r="C162" s="8" t="s">
        <v>89</v>
      </c>
      <c r="D162" s="8" t="s">
        <v>40</v>
      </c>
      <c r="E162" s="32" t="s">
        <v>19</v>
      </c>
      <c r="F162" s="38">
        <v>12</v>
      </c>
      <c r="G162" s="9">
        <v>4.6900000000000004</v>
      </c>
      <c r="H162" s="9">
        <v>1</v>
      </c>
      <c r="I162" s="10">
        <f t="shared" si="28"/>
        <v>59.28</v>
      </c>
      <c r="J162" s="38">
        <v>94</v>
      </c>
      <c r="K162" s="34">
        <f t="shared" si="21"/>
        <v>188</v>
      </c>
      <c r="L162" s="38">
        <v>0</v>
      </c>
      <c r="M162" s="38"/>
      <c r="N162" s="38"/>
      <c r="O162" s="38"/>
      <c r="P162" s="11" t="e">
        <f t="shared" si="26"/>
        <v>#DIV/0!</v>
      </c>
      <c r="Q162" s="11">
        <f t="shared" si="27"/>
        <v>0.31531914893617025</v>
      </c>
      <c r="R162" s="37">
        <f t="shared" si="24"/>
        <v>0</v>
      </c>
      <c r="S162" s="38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</row>
    <row r="163" spans="1:30" ht="12.75" customHeight="1" x14ac:dyDescent="0.25">
      <c r="A163" s="7">
        <v>46113</v>
      </c>
      <c r="B163" s="8" t="s">
        <v>88</v>
      </c>
      <c r="C163" s="8" t="s">
        <v>89</v>
      </c>
      <c r="D163" s="8" t="s">
        <v>41</v>
      </c>
      <c r="E163" s="32" t="s">
        <v>19</v>
      </c>
      <c r="F163" s="38">
        <v>10</v>
      </c>
      <c r="G163" s="9">
        <v>4.6100000000000003</v>
      </c>
      <c r="H163" s="9">
        <v>1</v>
      </c>
      <c r="I163" s="10">
        <f t="shared" si="28"/>
        <v>48.6</v>
      </c>
      <c r="J163" s="38">
        <v>70</v>
      </c>
      <c r="K163" s="34">
        <f t="shared" si="21"/>
        <v>142.19999999999999</v>
      </c>
      <c r="L163" s="38">
        <v>2.2000000000000002</v>
      </c>
      <c r="M163" s="38"/>
      <c r="N163" s="38"/>
      <c r="O163" s="38"/>
      <c r="P163" s="11" t="e">
        <f t="shared" si="26"/>
        <v>#DIV/0!</v>
      </c>
      <c r="Q163" s="11">
        <f t="shared" si="27"/>
        <v>0.34177215189873422</v>
      </c>
      <c r="R163" s="37">
        <f t="shared" si="24"/>
        <v>48400.000000000007</v>
      </c>
      <c r="S163" s="38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</row>
    <row r="164" spans="1:30" ht="12.75" customHeight="1" x14ac:dyDescent="0.25">
      <c r="A164" s="7">
        <v>46113</v>
      </c>
      <c r="B164" s="8" t="s">
        <v>88</v>
      </c>
      <c r="C164" s="8" t="s">
        <v>89</v>
      </c>
      <c r="D164" s="8" t="s">
        <v>42</v>
      </c>
      <c r="E164" s="32" t="s">
        <v>19</v>
      </c>
      <c r="F164" s="38">
        <v>13</v>
      </c>
      <c r="G164" s="9">
        <v>4.5</v>
      </c>
      <c r="H164" s="9">
        <v>1</v>
      </c>
      <c r="I164" s="10">
        <f t="shared" si="28"/>
        <v>61.75</v>
      </c>
      <c r="J164" s="38">
        <v>70</v>
      </c>
      <c r="K164" s="34">
        <f t="shared" si="21"/>
        <v>140</v>
      </c>
      <c r="L164" s="38">
        <v>0</v>
      </c>
      <c r="M164" s="38"/>
      <c r="N164" s="38"/>
      <c r="O164" s="38"/>
      <c r="P164" s="11" t="e">
        <f t="shared" si="26"/>
        <v>#DIV/0!</v>
      </c>
      <c r="Q164" s="11">
        <f t="shared" si="27"/>
        <v>0.44107142857142856</v>
      </c>
      <c r="R164" s="37">
        <f t="shared" si="24"/>
        <v>0</v>
      </c>
      <c r="S164" s="38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</row>
    <row r="165" spans="1:30" ht="12.75" customHeight="1" x14ac:dyDescent="0.25">
      <c r="A165" s="7">
        <v>46113</v>
      </c>
      <c r="B165" s="8" t="s">
        <v>88</v>
      </c>
      <c r="C165" s="8" t="s">
        <v>89</v>
      </c>
      <c r="D165" s="8" t="s">
        <v>45</v>
      </c>
      <c r="E165" s="32" t="s">
        <v>19</v>
      </c>
      <c r="F165" s="38">
        <v>21</v>
      </c>
      <c r="G165" s="9">
        <v>10.039999999999999</v>
      </c>
      <c r="H165" s="9">
        <v>2</v>
      </c>
      <c r="I165" s="10">
        <f t="shared" si="28"/>
        <v>216.08999999999997</v>
      </c>
      <c r="J165" s="38">
        <v>91.3</v>
      </c>
      <c r="K165" s="34">
        <f t="shared" si="21"/>
        <v>222.13</v>
      </c>
      <c r="L165" s="38">
        <v>39.53</v>
      </c>
      <c r="M165" s="38"/>
      <c r="N165" s="38"/>
      <c r="O165" s="38"/>
      <c r="P165" s="11" t="e">
        <f t="shared" si="26"/>
        <v>#DIV/0!</v>
      </c>
      <c r="Q165" s="11">
        <f t="shared" si="27"/>
        <v>0.9728087156169809</v>
      </c>
      <c r="R165" s="37">
        <f t="shared" si="24"/>
        <v>869660</v>
      </c>
      <c r="S165" s="38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</row>
    <row r="166" spans="1:30" ht="12.75" customHeight="1" x14ac:dyDescent="0.25">
      <c r="A166" s="7">
        <v>46113</v>
      </c>
      <c r="B166" s="8" t="s">
        <v>88</v>
      </c>
      <c r="C166" s="8" t="s">
        <v>89</v>
      </c>
      <c r="D166" s="8" t="s">
        <v>43</v>
      </c>
      <c r="E166" s="32" t="s">
        <v>19</v>
      </c>
      <c r="F166" s="38">
        <v>10</v>
      </c>
      <c r="G166" s="9">
        <v>9.1999999999999993</v>
      </c>
      <c r="H166" s="9">
        <v>2</v>
      </c>
      <c r="I166" s="10">
        <f t="shared" si="28"/>
        <v>94.5</v>
      </c>
      <c r="J166" s="38">
        <v>123</v>
      </c>
      <c r="K166" s="34">
        <f t="shared" si="21"/>
        <v>270.5</v>
      </c>
      <c r="L166" s="38">
        <v>24.5</v>
      </c>
      <c r="M166" s="38"/>
      <c r="N166" s="38"/>
      <c r="O166" s="38"/>
      <c r="P166" s="11" t="e">
        <f t="shared" si="26"/>
        <v>#DIV/0!</v>
      </c>
      <c r="Q166" s="11">
        <f t="shared" si="27"/>
        <v>0.34935304990757854</v>
      </c>
      <c r="R166" s="37">
        <f t="shared" si="24"/>
        <v>539000</v>
      </c>
      <c r="S166" s="38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</row>
    <row r="167" spans="1:30" ht="12.75" customHeight="1" x14ac:dyDescent="0.25">
      <c r="A167" s="7">
        <v>46113</v>
      </c>
      <c r="B167" s="8" t="s">
        <v>88</v>
      </c>
      <c r="C167" s="8" t="s">
        <v>89</v>
      </c>
      <c r="D167" s="8" t="s">
        <v>44</v>
      </c>
      <c r="E167" s="32" t="s">
        <v>19</v>
      </c>
      <c r="F167" s="38">
        <v>13</v>
      </c>
      <c r="G167" s="9">
        <v>5.76</v>
      </c>
      <c r="H167" s="9">
        <v>1</v>
      </c>
      <c r="I167" s="10">
        <f t="shared" si="28"/>
        <v>78.13</v>
      </c>
      <c r="J167" s="38">
        <v>79</v>
      </c>
      <c r="K167" s="34">
        <f t="shared" si="21"/>
        <v>159</v>
      </c>
      <c r="L167" s="38">
        <v>1</v>
      </c>
      <c r="M167" s="38"/>
      <c r="N167" s="38"/>
      <c r="O167" s="38"/>
      <c r="P167" s="11" t="e">
        <f t="shared" si="26"/>
        <v>#DIV/0!</v>
      </c>
      <c r="Q167" s="11">
        <f t="shared" si="27"/>
        <v>0.49138364779874211</v>
      </c>
      <c r="R167" s="37">
        <f t="shared" si="24"/>
        <v>22000</v>
      </c>
      <c r="S167" s="38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</row>
    <row r="168" spans="1:30" ht="12.75" customHeight="1" x14ac:dyDescent="0.25">
      <c r="A168" s="7">
        <v>46113</v>
      </c>
      <c r="B168" s="8" t="s">
        <v>88</v>
      </c>
      <c r="C168" s="8" t="s">
        <v>89</v>
      </c>
      <c r="D168" s="8" t="s">
        <v>86</v>
      </c>
      <c r="E168" s="33" t="s">
        <v>21</v>
      </c>
      <c r="F168" s="38">
        <v>10</v>
      </c>
      <c r="G168" s="9">
        <v>8.98</v>
      </c>
      <c r="H168" s="9">
        <v>2</v>
      </c>
      <c r="I168" s="10">
        <f t="shared" si="28"/>
        <v>92.300000000000011</v>
      </c>
      <c r="J168" s="38">
        <v>124</v>
      </c>
      <c r="K168" s="34">
        <f t="shared" si="21"/>
        <v>271.39999999999998</v>
      </c>
      <c r="L168" s="38">
        <v>23.4</v>
      </c>
      <c r="M168" s="38"/>
      <c r="N168" s="38"/>
      <c r="O168" s="38"/>
      <c r="P168" s="11" t="e">
        <f t="shared" si="26"/>
        <v>#DIV/0!</v>
      </c>
      <c r="Q168" s="11">
        <f t="shared" si="27"/>
        <v>0.34008843036109071</v>
      </c>
      <c r="R168" s="37">
        <f t="shared" si="24"/>
        <v>514799.99999999994</v>
      </c>
      <c r="S168" s="38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</row>
    <row r="169" spans="1:30" ht="12.75" customHeight="1" x14ac:dyDescent="0.25">
      <c r="A169" s="7">
        <v>46113</v>
      </c>
      <c r="B169" s="8" t="s">
        <v>88</v>
      </c>
      <c r="C169" s="8" t="s">
        <v>89</v>
      </c>
      <c r="D169" s="8" t="s">
        <v>48</v>
      </c>
      <c r="E169" s="32" t="s">
        <v>19</v>
      </c>
      <c r="F169" s="38">
        <v>14</v>
      </c>
      <c r="G169" s="9">
        <v>4.33</v>
      </c>
      <c r="H169" s="9">
        <v>1</v>
      </c>
      <c r="I169" s="10">
        <f t="shared" si="28"/>
        <v>64.12</v>
      </c>
      <c r="J169" s="38">
        <v>80</v>
      </c>
      <c r="K169" s="34">
        <f t="shared" si="21"/>
        <v>190.5</v>
      </c>
      <c r="L169" s="38">
        <v>30.5</v>
      </c>
      <c r="M169" s="38"/>
      <c r="N169" s="38"/>
      <c r="O169" s="38"/>
      <c r="P169" s="11" t="e">
        <f t="shared" si="26"/>
        <v>#DIV/0!</v>
      </c>
      <c r="Q169" s="11">
        <f t="shared" si="27"/>
        <v>0.3365879265091864</v>
      </c>
      <c r="R169" s="37">
        <f t="shared" si="24"/>
        <v>671000</v>
      </c>
      <c r="S169" s="38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</row>
    <row r="170" spans="1:30" ht="12.75" customHeight="1" x14ac:dyDescent="0.25">
      <c r="A170" s="7">
        <v>46113</v>
      </c>
      <c r="B170" s="8" t="s">
        <v>88</v>
      </c>
      <c r="C170" s="8" t="s">
        <v>89</v>
      </c>
      <c r="D170" s="8" t="s">
        <v>49</v>
      </c>
      <c r="E170" s="32" t="s">
        <v>19</v>
      </c>
      <c r="F170" s="38">
        <v>15</v>
      </c>
      <c r="G170" s="9">
        <v>4.5999999999999996</v>
      </c>
      <c r="H170" s="9">
        <v>1</v>
      </c>
      <c r="I170" s="10">
        <f t="shared" si="28"/>
        <v>72.75</v>
      </c>
      <c r="J170" s="38">
        <v>73.400000000000006</v>
      </c>
      <c r="K170" s="34">
        <f t="shared" si="21"/>
        <v>159.60000000000002</v>
      </c>
      <c r="L170" s="38">
        <v>12.8</v>
      </c>
      <c r="M170" s="38"/>
      <c r="N170" s="38"/>
      <c r="O170" s="38"/>
      <c r="P170" s="11" t="e">
        <f t="shared" si="26"/>
        <v>#DIV/0!</v>
      </c>
      <c r="Q170" s="11">
        <f t="shared" si="27"/>
        <v>0.45582706766917286</v>
      </c>
      <c r="R170" s="37">
        <f t="shared" si="24"/>
        <v>281600</v>
      </c>
      <c r="S170" s="38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</row>
    <row r="171" spans="1:30" ht="12.75" customHeight="1" x14ac:dyDescent="0.25">
      <c r="A171" s="7">
        <v>46113</v>
      </c>
      <c r="B171" s="8" t="s">
        <v>88</v>
      </c>
      <c r="C171" s="8" t="s">
        <v>89</v>
      </c>
      <c r="D171" s="8" t="s">
        <v>50</v>
      </c>
      <c r="E171" s="32" t="s">
        <v>19</v>
      </c>
      <c r="F171" s="38">
        <v>14</v>
      </c>
      <c r="G171" s="9">
        <v>4.66</v>
      </c>
      <c r="H171" s="9">
        <v>1</v>
      </c>
      <c r="I171" s="10">
        <f t="shared" si="28"/>
        <v>68.740000000000009</v>
      </c>
      <c r="J171" s="38">
        <v>94</v>
      </c>
      <c r="K171" s="34">
        <f t="shared" si="21"/>
        <v>195.2</v>
      </c>
      <c r="L171" s="38">
        <v>7.2</v>
      </c>
      <c r="M171" s="38"/>
      <c r="N171" s="38"/>
      <c r="O171" s="38"/>
      <c r="P171" s="11" t="e">
        <f t="shared" si="26"/>
        <v>#DIV/0!</v>
      </c>
      <c r="Q171" s="11">
        <f t="shared" si="27"/>
        <v>0.35215163934426236</v>
      </c>
      <c r="R171" s="37">
        <f t="shared" si="24"/>
        <v>158400</v>
      </c>
      <c r="S171" s="38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</row>
    <row r="172" spans="1:30" ht="12.75" customHeight="1" x14ac:dyDescent="0.25">
      <c r="A172" s="21"/>
      <c r="B172" s="13"/>
      <c r="C172" s="13"/>
      <c r="D172" s="13"/>
      <c r="E172" s="13"/>
      <c r="F172" s="13"/>
      <c r="G172" s="22"/>
      <c r="H172" s="22"/>
      <c r="I172" s="23"/>
      <c r="J172" s="13"/>
      <c r="K172" s="13"/>
      <c r="L172" s="13"/>
      <c r="M172" s="13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</row>
    <row r="173" spans="1:30" ht="12.75" customHeight="1" x14ac:dyDescent="0.25">
      <c r="A173" s="21"/>
      <c r="B173" s="13"/>
      <c r="C173" s="13"/>
      <c r="D173" s="13"/>
      <c r="E173" s="13"/>
      <c r="F173" s="13"/>
      <c r="G173" s="22"/>
      <c r="H173" s="22"/>
      <c r="I173" s="23"/>
      <c r="J173" s="13"/>
      <c r="K173" s="13"/>
      <c r="L173" s="13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</row>
    <row r="174" spans="1:30" ht="12.75" customHeight="1" x14ac:dyDescent="0.25">
      <c r="A174" s="21"/>
      <c r="B174" s="13"/>
      <c r="C174" s="13"/>
      <c r="D174" s="13"/>
      <c r="E174" s="13"/>
      <c r="F174" s="13"/>
      <c r="G174" s="22"/>
      <c r="H174" s="22"/>
      <c r="I174" s="23"/>
      <c r="J174" s="13"/>
      <c r="K174" s="13"/>
      <c r="L174" s="13"/>
      <c r="M174" s="13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</row>
    <row r="175" spans="1:30" ht="12.75" customHeight="1" x14ac:dyDescent="0.25">
      <c r="A175" s="21"/>
      <c r="B175" s="13"/>
      <c r="C175" s="13"/>
      <c r="D175" s="13"/>
      <c r="E175" s="13"/>
      <c r="F175" s="13"/>
      <c r="G175" s="22"/>
      <c r="H175" s="22"/>
      <c r="I175" s="23"/>
      <c r="J175" s="13"/>
      <c r="K175" s="13"/>
      <c r="L175" s="13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</row>
    <row r="176" spans="1:30" ht="12.75" customHeight="1" x14ac:dyDescent="0.25">
      <c r="A176" s="21"/>
      <c r="B176" s="13"/>
      <c r="C176" s="13"/>
      <c r="D176" s="13"/>
      <c r="E176" s="13"/>
      <c r="F176" s="13"/>
      <c r="G176" s="22"/>
      <c r="H176" s="22"/>
      <c r="I176" s="23"/>
      <c r="J176" s="13"/>
      <c r="K176" s="13"/>
      <c r="L176" s="13"/>
      <c r="M176" s="13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</row>
    <row r="177" spans="1:30" ht="12.75" customHeight="1" x14ac:dyDescent="0.25">
      <c r="A177" s="21"/>
      <c r="B177" s="13"/>
      <c r="C177" s="13"/>
      <c r="D177" s="13"/>
      <c r="E177" s="13"/>
      <c r="F177" s="13"/>
      <c r="G177" s="22"/>
      <c r="H177" s="22"/>
      <c r="I177" s="23"/>
      <c r="J177" s="13"/>
      <c r="K177" s="13"/>
      <c r="L177" s="13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</row>
    <row r="178" spans="1:30" ht="12.75" customHeight="1" x14ac:dyDescent="0.25">
      <c r="A178" s="21"/>
      <c r="B178" s="13"/>
      <c r="C178" s="13"/>
      <c r="D178" s="13"/>
      <c r="E178" s="13"/>
      <c r="F178" s="13"/>
      <c r="G178" s="22"/>
      <c r="H178" s="22"/>
      <c r="I178" s="23"/>
      <c r="J178" s="13"/>
      <c r="K178" s="13"/>
      <c r="L178" s="13"/>
      <c r="M178" s="13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</row>
    <row r="179" spans="1:30" ht="12.75" customHeight="1" x14ac:dyDescent="0.25">
      <c r="A179" s="21"/>
      <c r="B179" s="13"/>
      <c r="C179" s="13"/>
      <c r="D179" s="13"/>
      <c r="E179" s="13"/>
      <c r="F179" s="13"/>
      <c r="G179" s="22"/>
      <c r="H179" s="22"/>
      <c r="I179" s="23"/>
      <c r="J179" s="13"/>
      <c r="K179" s="13"/>
      <c r="L179" s="13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</row>
    <row r="180" spans="1:30" ht="12.75" customHeight="1" x14ac:dyDescent="0.25">
      <c r="A180" s="21"/>
      <c r="B180" s="13"/>
      <c r="C180" s="13"/>
      <c r="D180" s="13"/>
      <c r="E180" s="13"/>
      <c r="F180" s="13"/>
      <c r="G180" s="22"/>
      <c r="H180" s="22"/>
      <c r="I180" s="23"/>
      <c r="J180" s="13"/>
      <c r="K180" s="13"/>
      <c r="L180" s="13"/>
      <c r="M180" s="13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</row>
    <row r="181" spans="1:30" ht="12.75" customHeight="1" x14ac:dyDescent="0.25">
      <c r="A181" s="21"/>
      <c r="B181" s="13"/>
      <c r="C181" s="13"/>
      <c r="D181" s="13"/>
      <c r="E181" s="13"/>
      <c r="F181" s="13"/>
      <c r="G181" s="22"/>
      <c r="H181" s="22"/>
      <c r="I181" s="23"/>
      <c r="J181" s="13"/>
      <c r="K181" s="13"/>
      <c r="L181" s="13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</row>
    <row r="182" spans="1:30" ht="12.75" customHeight="1" x14ac:dyDescent="0.25">
      <c r="A182" s="21"/>
      <c r="B182" s="13"/>
      <c r="C182" s="13"/>
      <c r="D182" s="13"/>
      <c r="E182" s="13"/>
      <c r="F182" s="13"/>
      <c r="G182" s="22"/>
      <c r="H182" s="22"/>
      <c r="I182" s="23"/>
      <c r="J182" s="13"/>
      <c r="K182" s="13"/>
      <c r="L182" s="13"/>
      <c r="M182" s="13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</row>
    <row r="183" spans="1:30" ht="12.75" customHeight="1" x14ac:dyDescent="0.25">
      <c r="A183" s="21"/>
      <c r="B183" s="13"/>
      <c r="C183" s="13"/>
      <c r="D183" s="13"/>
      <c r="E183" s="13"/>
      <c r="F183" s="13"/>
      <c r="G183" s="22"/>
      <c r="H183" s="22"/>
      <c r="I183" s="23"/>
      <c r="J183" s="13"/>
      <c r="K183" s="13"/>
      <c r="L183" s="13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</row>
    <row r="184" spans="1:30" ht="12.75" customHeight="1" x14ac:dyDescent="0.25">
      <c r="A184" s="21"/>
      <c r="B184" s="13"/>
      <c r="C184" s="13"/>
      <c r="D184" s="13"/>
      <c r="E184" s="13"/>
      <c r="F184" s="13"/>
      <c r="G184" s="22"/>
      <c r="H184" s="22"/>
      <c r="I184" s="23"/>
      <c r="J184" s="13"/>
      <c r="K184" s="13"/>
      <c r="L184" s="13"/>
      <c r="M184" s="13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</row>
    <row r="185" spans="1:30" ht="12.75" customHeight="1" x14ac:dyDescent="0.25">
      <c r="A185" s="21"/>
      <c r="B185" s="13"/>
      <c r="C185" s="13"/>
      <c r="D185" s="13"/>
      <c r="E185" s="13"/>
      <c r="F185" s="13"/>
      <c r="G185" s="22"/>
      <c r="H185" s="22"/>
      <c r="I185" s="23"/>
      <c r="J185" s="13"/>
      <c r="K185" s="13"/>
      <c r="L185" s="13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</row>
    <row r="186" spans="1:30" ht="12.75" customHeight="1" x14ac:dyDescent="0.25">
      <c r="A186" s="21"/>
      <c r="B186" s="13"/>
      <c r="C186" s="13"/>
      <c r="D186" s="13"/>
      <c r="E186" s="13"/>
      <c r="F186" s="13"/>
      <c r="G186" s="22"/>
      <c r="H186" s="22"/>
      <c r="I186" s="23"/>
      <c r="J186" s="13"/>
      <c r="K186" s="13"/>
      <c r="L186" s="13"/>
      <c r="M186" s="13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</row>
    <row r="187" spans="1:30" ht="12.75" customHeight="1" x14ac:dyDescent="0.25">
      <c r="A187" s="21"/>
      <c r="B187" s="13"/>
      <c r="C187" s="13"/>
      <c r="D187" s="13"/>
      <c r="E187" s="13"/>
      <c r="F187" s="13"/>
      <c r="G187" s="22"/>
      <c r="H187" s="22"/>
      <c r="I187" s="23"/>
      <c r="J187" s="13"/>
      <c r="K187" s="13"/>
      <c r="L187" s="13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</row>
    <row r="188" spans="1:30" ht="12.75" customHeight="1" x14ac:dyDescent="0.25">
      <c r="A188" s="21"/>
      <c r="B188" s="13"/>
      <c r="C188" s="13"/>
      <c r="D188" s="13"/>
      <c r="E188" s="13"/>
      <c r="F188" s="13"/>
      <c r="G188" s="22"/>
      <c r="H188" s="22"/>
      <c r="I188" s="23"/>
      <c r="J188" s="13"/>
      <c r="K188" s="13"/>
      <c r="L188" s="13"/>
      <c r="M188" s="13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</row>
    <row r="189" spans="1:30" ht="12.75" customHeight="1" x14ac:dyDescent="0.25">
      <c r="A189" s="21"/>
      <c r="B189" s="13"/>
      <c r="C189" s="13"/>
      <c r="D189" s="13"/>
      <c r="E189" s="13"/>
      <c r="F189" s="13"/>
      <c r="G189" s="22"/>
      <c r="H189" s="22"/>
      <c r="I189" s="23"/>
      <c r="J189" s="13"/>
      <c r="K189" s="13"/>
      <c r="L189" s="13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</row>
    <row r="190" spans="1:30" ht="12.75" customHeight="1" x14ac:dyDescent="0.25">
      <c r="A190" s="21"/>
      <c r="B190" s="13"/>
      <c r="C190" s="13"/>
      <c r="D190" s="13"/>
      <c r="E190" s="13"/>
      <c r="F190" s="13"/>
      <c r="G190" s="22"/>
      <c r="H190" s="22"/>
      <c r="I190" s="23"/>
      <c r="J190" s="13"/>
      <c r="K190" s="13"/>
      <c r="L190" s="13"/>
      <c r="M190" s="13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</row>
    <row r="191" spans="1:30" ht="12.75" customHeight="1" x14ac:dyDescent="0.25">
      <c r="A191" s="21"/>
      <c r="B191" s="13"/>
      <c r="C191" s="13"/>
      <c r="D191" s="13"/>
      <c r="E191" s="13"/>
      <c r="F191" s="13"/>
      <c r="G191" s="22"/>
      <c r="H191" s="22"/>
      <c r="I191" s="23"/>
      <c r="J191" s="13"/>
      <c r="K191" s="13"/>
      <c r="L191" s="13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</row>
    <row r="192" spans="1:30" ht="12.75" customHeight="1" x14ac:dyDescent="0.25">
      <c r="A192" s="21"/>
      <c r="B192" s="13"/>
      <c r="C192" s="13"/>
      <c r="D192" s="13"/>
      <c r="E192" s="13"/>
      <c r="F192" s="13"/>
      <c r="G192" s="22"/>
      <c r="H192" s="22"/>
      <c r="I192" s="23"/>
      <c r="J192" s="13"/>
      <c r="K192" s="13"/>
      <c r="L192" s="13"/>
      <c r="M192" s="13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</row>
    <row r="193" spans="1:30" ht="12.75" customHeight="1" x14ac:dyDescent="0.25">
      <c r="A193" s="21"/>
      <c r="B193" s="13"/>
      <c r="C193" s="13"/>
      <c r="D193" s="13"/>
      <c r="E193" s="13"/>
      <c r="F193" s="13"/>
      <c r="G193" s="22"/>
      <c r="H193" s="22"/>
      <c r="I193" s="23"/>
      <c r="J193" s="13"/>
      <c r="K193" s="13"/>
      <c r="L193" s="13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</row>
    <row r="194" spans="1:30" ht="12.75" customHeight="1" x14ac:dyDescent="0.25">
      <c r="A194" s="21"/>
      <c r="B194" s="13"/>
      <c r="C194" s="13"/>
      <c r="D194" s="13"/>
      <c r="E194" s="13"/>
      <c r="F194" s="13"/>
      <c r="G194" s="22"/>
      <c r="H194" s="22"/>
      <c r="I194" s="23"/>
      <c r="J194" s="13"/>
      <c r="K194" s="13"/>
      <c r="L194" s="13"/>
      <c r="M194" s="13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</row>
    <row r="195" spans="1:30" ht="12.75" customHeight="1" x14ac:dyDescent="0.25">
      <c r="A195" s="21"/>
      <c r="B195" s="13"/>
      <c r="C195" s="13"/>
      <c r="D195" s="13"/>
      <c r="E195" s="13"/>
      <c r="F195" s="13"/>
      <c r="G195" s="22"/>
      <c r="H195" s="22"/>
      <c r="I195" s="23"/>
      <c r="J195" s="13"/>
      <c r="K195" s="13"/>
      <c r="L195" s="13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</row>
    <row r="196" spans="1:30" ht="12.75" customHeight="1" x14ac:dyDescent="0.25">
      <c r="A196" s="21"/>
      <c r="B196" s="13"/>
      <c r="C196" s="13"/>
      <c r="D196" s="13"/>
      <c r="E196" s="13"/>
      <c r="F196" s="13"/>
      <c r="G196" s="22"/>
      <c r="H196" s="22"/>
      <c r="I196" s="23"/>
      <c r="J196" s="13"/>
      <c r="K196" s="13"/>
      <c r="L196" s="13"/>
      <c r="M196" s="13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</row>
    <row r="197" spans="1:30" ht="12.75" customHeight="1" x14ac:dyDescent="0.25">
      <c r="A197" s="21"/>
      <c r="B197" s="13"/>
      <c r="C197" s="13"/>
      <c r="D197" s="13"/>
      <c r="E197" s="13"/>
      <c r="F197" s="13"/>
      <c r="G197" s="22"/>
      <c r="H197" s="22"/>
      <c r="I197" s="23"/>
      <c r="J197" s="13"/>
      <c r="K197" s="13"/>
      <c r="L197" s="13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</row>
    <row r="198" spans="1:30" ht="12.75" customHeight="1" x14ac:dyDescent="0.25">
      <c r="A198" s="21"/>
      <c r="B198" s="13"/>
      <c r="C198" s="13"/>
      <c r="D198" s="13"/>
      <c r="E198" s="13"/>
      <c r="F198" s="13"/>
      <c r="G198" s="22"/>
      <c r="H198" s="22"/>
      <c r="I198" s="23"/>
      <c r="J198" s="13"/>
      <c r="K198" s="13"/>
      <c r="L198" s="13"/>
      <c r="M198" s="13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</row>
    <row r="199" spans="1:30" ht="12.75" customHeight="1" x14ac:dyDescent="0.25">
      <c r="A199" s="21"/>
      <c r="B199" s="13"/>
      <c r="C199" s="13"/>
      <c r="D199" s="13"/>
      <c r="E199" s="13"/>
      <c r="F199" s="13"/>
      <c r="G199" s="22"/>
      <c r="H199" s="22"/>
      <c r="I199" s="23"/>
      <c r="J199" s="13"/>
      <c r="K199" s="13"/>
      <c r="L199" s="13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</row>
    <row r="200" spans="1:30" ht="12.75" customHeight="1" x14ac:dyDescent="0.25">
      <c r="A200" s="21"/>
      <c r="B200" s="13"/>
      <c r="C200" s="13"/>
      <c r="D200" s="13"/>
      <c r="E200" s="13"/>
      <c r="F200" s="13"/>
      <c r="G200" s="22"/>
      <c r="H200" s="22"/>
      <c r="I200" s="23"/>
      <c r="J200" s="13"/>
      <c r="K200" s="13"/>
      <c r="L200" s="13"/>
      <c r="M200" s="13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</row>
    <row r="201" spans="1:30" ht="12.75" customHeight="1" x14ac:dyDescent="0.25">
      <c r="A201" s="21"/>
      <c r="B201" s="13"/>
      <c r="C201" s="13"/>
      <c r="D201" s="13"/>
      <c r="E201" s="13"/>
      <c r="F201" s="13"/>
      <c r="G201" s="22"/>
      <c r="H201" s="22"/>
      <c r="I201" s="23"/>
      <c r="J201" s="13"/>
      <c r="K201" s="13"/>
      <c r="L201" s="13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</row>
    <row r="202" spans="1:30" ht="12.75" customHeight="1" x14ac:dyDescent="0.25">
      <c r="A202" s="21"/>
      <c r="B202" s="13"/>
      <c r="C202" s="13"/>
      <c r="D202" s="13"/>
      <c r="E202" s="13"/>
      <c r="F202" s="13"/>
      <c r="G202" s="22"/>
      <c r="H202" s="22"/>
      <c r="I202" s="23"/>
      <c r="J202" s="13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</row>
    <row r="203" spans="1:30" ht="12.75" customHeight="1" x14ac:dyDescent="0.25">
      <c r="A203" s="21"/>
      <c r="B203" s="13"/>
      <c r="C203" s="13"/>
      <c r="D203" s="13"/>
      <c r="E203" s="13"/>
      <c r="F203" s="13"/>
      <c r="G203" s="22"/>
      <c r="H203" s="22"/>
      <c r="I203" s="23"/>
      <c r="J203" s="13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</row>
    <row r="204" spans="1:30" ht="12.75" customHeight="1" x14ac:dyDescent="0.25">
      <c r="A204" s="21"/>
      <c r="B204" s="13"/>
      <c r="C204" s="13"/>
      <c r="D204" s="13"/>
      <c r="E204" s="13"/>
      <c r="F204" s="13"/>
      <c r="G204" s="22"/>
      <c r="H204" s="22"/>
      <c r="I204" s="23"/>
      <c r="J204" s="13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</row>
    <row r="205" spans="1:30" ht="12.75" customHeight="1" x14ac:dyDescent="0.25">
      <c r="A205" s="21"/>
      <c r="B205" s="13"/>
      <c r="C205" s="13"/>
      <c r="D205" s="13"/>
      <c r="E205" s="13"/>
      <c r="F205" s="13"/>
      <c r="G205" s="22"/>
      <c r="H205" s="22"/>
      <c r="I205" s="23"/>
      <c r="J205" s="13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</row>
    <row r="206" spans="1:30" ht="12.75" customHeight="1" x14ac:dyDescent="0.25">
      <c r="A206" s="21"/>
      <c r="B206" s="13"/>
      <c r="C206" s="13"/>
      <c r="D206" s="13"/>
      <c r="E206" s="13"/>
      <c r="F206" s="13"/>
      <c r="G206" s="22"/>
      <c r="H206" s="22"/>
      <c r="I206" s="23"/>
      <c r="J206" s="13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</row>
    <row r="207" spans="1:30" ht="12.75" customHeight="1" x14ac:dyDescent="0.25">
      <c r="A207" s="21"/>
      <c r="B207" s="13"/>
      <c r="C207" s="13"/>
      <c r="D207" s="13"/>
      <c r="E207" s="13"/>
      <c r="F207" s="13"/>
      <c r="G207" s="22"/>
      <c r="H207" s="22"/>
      <c r="I207" s="23"/>
      <c r="J207" s="13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</row>
    <row r="208" spans="1:30" ht="12.75" customHeight="1" x14ac:dyDescent="0.25">
      <c r="A208" s="21"/>
      <c r="B208" s="13"/>
      <c r="C208" s="13"/>
      <c r="D208" s="13"/>
      <c r="E208" s="13"/>
      <c r="F208" s="13"/>
      <c r="G208" s="22"/>
      <c r="H208" s="22"/>
      <c r="I208" s="23"/>
      <c r="J208" s="13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</row>
    <row r="209" spans="1:30" ht="12.75" customHeight="1" x14ac:dyDescent="0.25">
      <c r="A209" s="21"/>
      <c r="B209" s="13"/>
      <c r="C209" s="13"/>
      <c r="D209" s="13"/>
      <c r="E209" s="13"/>
      <c r="F209" s="13"/>
      <c r="G209" s="22"/>
      <c r="H209" s="22"/>
      <c r="I209" s="23"/>
      <c r="J209" s="13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</row>
    <row r="210" spans="1:30" ht="12.75" customHeight="1" x14ac:dyDescent="0.25">
      <c r="A210" s="21"/>
      <c r="B210" s="13"/>
      <c r="C210" s="13"/>
      <c r="D210" s="13"/>
      <c r="E210" s="13"/>
      <c r="F210" s="13"/>
      <c r="G210" s="22"/>
      <c r="H210" s="22"/>
      <c r="I210" s="23"/>
      <c r="J210" s="13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</row>
    <row r="211" spans="1:30" ht="12.75" customHeight="1" x14ac:dyDescent="0.25">
      <c r="A211" s="21"/>
      <c r="B211" s="13"/>
      <c r="C211" s="13"/>
      <c r="D211" s="13"/>
      <c r="E211" s="13"/>
      <c r="F211" s="13"/>
      <c r="G211" s="22"/>
      <c r="H211" s="22"/>
      <c r="I211" s="23"/>
      <c r="J211" s="13"/>
      <c r="K211" s="13"/>
      <c r="L211" s="13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</row>
    <row r="212" spans="1:30" ht="12.75" customHeight="1" x14ac:dyDescent="0.25">
      <c r="A212" s="21"/>
      <c r="B212" s="13"/>
      <c r="C212" s="13"/>
      <c r="D212" s="13"/>
      <c r="E212" s="13"/>
      <c r="F212" s="13"/>
      <c r="G212" s="22"/>
      <c r="H212" s="22"/>
      <c r="I212" s="23"/>
      <c r="J212" s="13"/>
      <c r="K212" s="13"/>
      <c r="L212" s="13"/>
      <c r="M212" s="13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</row>
    <row r="213" spans="1:30" ht="12.75" customHeight="1" x14ac:dyDescent="0.25">
      <c r="A213" s="21"/>
      <c r="B213" s="13"/>
      <c r="C213" s="13"/>
      <c r="D213" s="13"/>
      <c r="E213" s="13"/>
      <c r="F213" s="13"/>
      <c r="G213" s="22"/>
      <c r="H213" s="22"/>
      <c r="I213" s="23"/>
      <c r="J213" s="13"/>
      <c r="K213" s="13"/>
      <c r="L213" s="13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</row>
    <row r="214" spans="1:30" ht="12.75" customHeight="1" x14ac:dyDescent="0.25">
      <c r="A214" s="21"/>
      <c r="B214" s="13"/>
      <c r="C214" s="13"/>
      <c r="D214" s="13"/>
      <c r="E214" s="13"/>
      <c r="F214" s="13"/>
      <c r="G214" s="22"/>
      <c r="H214" s="22"/>
      <c r="I214" s="23"/>
      <c r="J214" s="13"/>
      <c r="K214" s="13"/>
      <c r="L214" s="13"/>
      <c r="M214" s="13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</row>
    <row r="215" spans="1:30" ht="12.75" customHeight="1" x14ac:dyDescent="0.25">
      <c r="A215" s="21"/>
      <c r="B215" s="13"/>
      <c r="C215" s="13"/>
      <c r="D215" s="13"/>
      <c r="E215" s="13"/>
      <c r="F215" s="13"/>
      <c r="G215" s="22"/>
      <c r="H215" s="22"/>
      <c r="I215" s="23"/>
      <c r="J215" s="13"/>
      <c r="K215" s="13"/>
      <c r="L215" s="13"/>
      <c r="M215" s="13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</row>
    <row r="216" spans="1:30" ht="12.75" customHeight="1" x14ac:dyDescent="0.25">
      <c r="A216" s="21"/>
      <c r="B216" s="13"/>
      <c r="C216" s="13"/>
      <c r="D216" s="13"/>
      <c r="E216" s="13"/>
      <c r="F216" s="13"/>
      <c r="G216" s="22"/>
      <c r="H216" s="22"/>
      <c r="I216" s="23"/>
      <c r="J216" s="13"/>
      <c r="K216" s="13"/>
      <c r="L216" s="13"/>
      <c r="M216" s="13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</row>
    <row r="217" spans="1:30" ht="12.75" customHeight="1" x14ac:dyDescent="0.25">
      <c r="A217" s="21"/>
      <c r="B217" s="13"/>
      <c r="C217" s="13"/>
      <c r="D217" s="13"/>
      <c r="E217" s="13"/>
      <c r="F217" s="13"/>
      <c r="G217" s="22"/>
      <c r="H217" s="22"/>
      <c r="I217" s="23"/>
      <c r="J217" s="13"/>
      <c r="K217" s="13"/>
      <c r="L217" s="13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</row>
    <row r="218" spans="1:30" ht="12.75" customHeight="1" x14ac:dyDescent="0.25">
      <c r="A218" s="21"/>
      <c r="B218" s="13"/>
      <c r="C218" s="13"/>
      <c r="D218" s="13"/>
      <c r="E218" s="13"/>
      <c r="F218" s="13"/>
      <c r="G218" s="22"/>
      <c r="H218" s="22"/>
      <c r="I218" s="23"/>
      <c r="J218" s="13"/>
      <c r="K218" s="13"/>
      <c r="L218" s="13"/>
      <c r="M218" s="13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</row>
    <row r="219" spans="1:30" ht="12.75" customHeight="1" x14ac:dyDescent="0.25">
      <c r="A219" s="21"/>
      <c r="B219" s="13"/>
      <c r="C219" s="13"/>
      <c r="D219" s="13"/>
      <c r="E219" s="13"/>
      <c r="F219" s="13"/>
      <c r="G219" s="22"/>
      <c r="H219" s="22"/>
      <c r="I219" s="23"/>
      <c r="J219" s="13"/>
      <c r="K219" s="13"/>
      <c r="L219" s="13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</row>
    <row r="220" spans="1:30" ht="12.75" customHeight="1" x14ac:dyDescent="0.25">
      <c r="A220" s="21"/>
      <c r="B220" s="13"/>
      <c r="C220" s="13"/>
      <c r="D220" s="13"/>
      <c r="E220" s="13"/>
      <c r="F220" s="13"/>
      <c r="G220" s="22"/>
      <c r="H220" s="22"/>
      <c r="I220" s="23"/>
      <c r="J220" s="13"/>
      <c r="K220" s="13"/>
      <c r="L220" s="13"/>
      <c r="M220" s="13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</row>
    <row r="221" spans="1:30" ht="12.75" customHeight="1" x14ac:dyDescent="0.25">
      <c r="A221" s="21"/>
      <c r="B221" s="13"/>
      <c r="C221" s="13"/>
      <c r="D221" s="13"/>
      <c r="E221" s="13"/>
      <c r="F221" s="13"/>
      <c r="G221" s="22"/>
      <c r="H221" s="22"/>
      <c r="I221" s="23"/>
      <c r="J221" s="13"/>
      <c r="K221" s="13"/>
      <c r="L221" s="13"/>
      <c r="M221" s="13"/>
      <c r="N221" s="13"/>
      <c r="O221" s="13"/>
      <c r="P221" s="13"/>
      <c r="Q221" s="13"/>
      <c r="R221" s="13"/>
      <c r="S221" s="13"/>
      <c r="T221" s="13"/>
      <c r="U221" s="13"/>
      <c r="V221" s="13"/>
      <c r="W221" s="13"/>
      <c r="X221" s="13"/>
      <c r="Y221" s="13"/>
      <c r="Z221" s="13"/>
      <c r="AA221" s="13"/>
      <c r="AB221" s="13"/>
      <c r="AC221" s="13"/>
      <c r="AD221" s="13"/>
    </row>
    <row r="222" spans="1:30" ht="12.75" customHeight="1" x14ac:dyDescent="0.25">
      <c r="A222" s="21"/>
      <c r="B222" s="13"/>
      <c r="C222" s="13"/>
      <c r="D222" s="13"/>
      <c r="E222" s="13"/>
      <c r="F222" s="13"/>
      <c r="G222" s="22"/>
      <c r="H222" s="22"/>
      <c r="I222" s="23"/>
      <c r="J222" s="13"/>
      <c r="K222" s="13"/>
      <c r="L222" s="13"/>
      <c r="M222" s="13"/>
      <c r="N222" s="13"/>
      <c r="O222" s="13"/>
      <c r="P222" s="13"/>
      <c r="Q222" s="13"/>
      <c r="R222" s="13"/>
      <c r="S222" s="13"/>
      <c r="T222" s="13"/>
      <c r="U222" s="13"/>
      <c r="V222" s="13"/>
      <c r="W222" s="13"/>
      <c r="X222" s="13"/>
      <c r="Y222" s="13"/>
      <c r="Z222" s="13"/>
      <c r="AA222" s="13"/>
      <c r="AB222" s="13"/>
      <c r="AC222" s="13"/>
      <c r="AD222" s="13"/>
    </row>
    <row r="223" spans="1:30" ht="12.75" customHeight="1" x14ac:dyDescent="0.25">
      <c r="A223" s="21"/>
      <c r="B223" s="13"/>
      <c r="C223" s="13"/>
      <c r="D223" s="13"/>
      <c r="E223" s="13"/>
      <c r="F223" s="13"/>
      <c r="G223" s="22"/>
      <c r="H223" s="22"/>
      <c r="I223" s="23"/>
      <c r="J223" s="13"/>
      <c r="K223" s="13"/>
      <c r="L223" s="13"/>
      <c r="M223" s="13"/>
      <c r="N223" s="13"/>
      <c r="O223" s="13"/>
      <c r="P223" s="13"/>
      <c r="Q223" s="13"/>
      <c r="R223" s="13"/>
      <c r="S223" s="13"/>
      <c r="T223" s="13"/>
      <c r="U223" s="13"/>
      <c r="V223" s="13"/>
      <c r="W223" s="13"/>
      <c r="X223" s="13"/>
      <c r="Y223" s="13"/>
      <c r="Z223" s="13"/>
      <c r="AA223" s="13"/>
      <c r="AB223" s="13"/>
      <c r="AC223" s="13"/>
      <c r="AD223" s="13"/>
    </row>
    <row r="224" spans="1:30" ht="12.75" customHeight="1" x14ac:dyDescent="0.25">
      <c r="A224" s="21"/>
      <c r="B224" s="13"/>
      <c r="C224" s="13"/>
      <c r="D224" s="13"/>
      <c r="E224" s="13"/>
      <c r="F224" s="13"/>
      <c r="G224" s="22"/>
      <c r="H224" s="22"/>
      <c r="I224" s="23"/>
      <c r="J224" s="13"/>
      <c r="K224" s="13"/>
      <c r="L224" s="13"/>
      <c r="M224" s="13"/>
      <c r="N224" s="13"/>
      <c r="O224" s="13"/>
      <c r="P224" s="13"/>
      <c r="Q224" s="13"/>
      <c r="R224" s="13"/>
      <c r="S224" s="13"/>
      <c r="T224" s="13"/>
      <c r="U224" s="13"/>
      <c r="V224" s="13"/>
      <c r="W224" s="13"/>
      <c r="X224" s="13"/>
      <c r="Y224" s="13"/>
      <c r="Z224" s="13"/>
      <c r="AA224" s="13"/>
      <c r="AB224" s="13"/>
      <c r="AC224" s="13"/>
      <c r="AD224" s="13"/>
    </row>
    <row r="225" spans="1:30" ht="12.75" customHeight="1" x14ac:dyDescent="0.25">
      <c r="A225" s="21"/>
      <c r="B225" s="13"/>
      <c r="C225" s="13"/>
      <c r="D225" s="13"/>
      <c r="E225" s="13"/>
      <c r="F225" s="13"/>
      <c r="G225" s="22"/>
      <c r="H225" s="22"/>
      <c r="I225" s="23"/>
      <c r="J225" s="13"/>
      <c r="K225" s="13"/>
      <c r="L225" s="13"/>
      <c r="M225" s="13"/>
      <c r="N225" s="13"/>
      <c r="O225" s="13"/>
      <c r="P225" s="13"/>
      <c r="Q225" s="13"/>
      <c r="R225" s="13"/>
      <c r="S225" s="13"/>
      <c r="T225" s="13"/>
      <c r="U225" s="13"/>
      <c r="V225" s="13"/>
      <c r="W225" s="13"/>
      <c r="X225" s="13"/>
      <c r="Y225" s="13"/>
      <c r="Z225" s="13"/>
      <c r="AA225" s="13"/>
      <c r="AB225" s="13"/>
      <c r="AC225" s="13"/>
      <c r="AD225" s="13"/>
    </row>
    <row r="226" spans="1:30" ht="12.75" customHeight="1" x14ac:dyDescent="0.25">
      <c r="A226" s="21"/>
      <c r="B226" s="13"/>
      <c r="C226" s="13"/>
      <c r="D226" s="13"/>
      <c r="E226" s="13"/>
      <c r="F226" s="13"/>
      <c r="G226" s="22"/>
      <c r="H226" s="22"/>
      <c r="I226" s="23"/>
      <c r="J226" s="13"/>
      <c r="K226" s="13"/>
      <c r="L226" s="13"/>
      <c r="M226" s="13"/>
      <c r="N226" s="13"/>
      <c r="O226" s="13"/>
      <c r="P226" s="13"/>
      <c r="Q226" s="13"/>
      <c r="R226" s="13"/>
      <c r="S226" s="13"/>
      <c r="T226" s="13"/>
      <c r="U226" s="13"/>
      <c r="V226" s="13"/>
      <c r="W226" s="13"/>
      <c r="X226" s="13"/>
      <c r="Y226" s="13"/>
      <c r="Z226" s="13"/>
      <c r="AA226" s="13"/>
      <c r="AB226" s="13"/>
      <c r="AC226" s="13"/>
      <c r="AD226" s="13"/>
    </row>
    <row r="227" spans="1:30" ht="12.75" customHeight="1" x14ac:dyDescent="0.25">
      <c r="A227" s="21"/>
      <c r="B227" s="13"/>
      <c r="C227" s="13"/>
      <c r="D227" s="13"/>
      <c r="E227" s="13"/>
      <c r="F227" s="13"/>
      <c r="G227" s="22"/>
      <c r="H227" s="22"/>
      <c r="I227" s="23"/>
      <c r="J227" s="13"/>
      <c r="K227" s="13"/>
      <c r="L227" s="13"/>
      <c r="M227" s="13"/>
      <c r="N227" s="13"/>
      <c r="O227" s="13"/>
      <c r="P227" s="13"/>
      <c r="Q227" s="13"/>
      <c r="R227" s="13"/>
      <c r="S227" s="13"/>
      <c r="T227" s="13"/>
      <c r="U227" s="13"/>
      <c r="V227" s="13"/>
      <c r="W227" s="13"/>
      <c r="X227" s="13"/>
      <c r="Y227" s="13"/>
      <c r="Z227" s="13"/>
      <c r="AA227" s="13"/>
      <c r="AB227" s="13"/>
      <c r="AC227" s="13"/>
      <c r="AD227" s="13"/>
    </row>
    <row r="228" spans="1:30" ht="12.75" customHeight="1" x14ac:dyDescent="0.25">
      <c r="A228" s="21"/>
      <c r="B228" s="13"/>
      <c r="C228" s="13"/>
      <c r="D228" s="13"/>
      <c r="E228" s="13"/>
      <c r="F228" s="13"/>
      <c r="G228" s="22"/>
      <c r="H228" s="22"/>
      <c r="I228" s="23"/>
      <c r="J228" s="13"/>
      <c r="K228" s="13"/>
      <c r="L228" s="13"/>
      <c r="M228" s="13"/>
      <c r="N228" s="13"/>
      <c r="O228" s="13"/>
      <c r="P228" s="13"/>
      <c r="Q228" s="13"/>
      <c r="R228" s="13"/>
      <c r="S228" s="13"/>
      <c r="T228" s="13"/>
      <c r="U228" s="13"/>
      <c r="V228" s="13"/>
      <c r="W228" s="13"/>
      <c r="X228" s="13"/>
      <c r="Y228" s="13"/>
      <c r="Z228" s="13"/>
      <c r="AA228" s="13"/>
      <c r="AB228" s="13"/>
      <c r="AC228" s="13"/>
      <c r="AD228" s="13"/>
    </row>
    <row r="229" spans="1:30" ht="12.75" customHeight="1" x14ac:dyDescent="0.25">
      <c r="A229" s="21"/>
      <c r="B229" s="13"/>
      <c r="C229" s="13"/>
      <c r="D229" s="13"/>
      <c r="E229" s="13"/>
      <c r="F229" s="13"/>
      <c r="G229" s="22"/>
      <c r="H229" s="22"/>
      <c r="I229" s="23"/>
      <c r="J229" s="13"/>
      <c r="K229" s="13"/>
      <c r="L229" s="13"/>
      <c r="M229" s="13"/>
      <c r="N229" s="13"/>
      <c r="O229" s="13"/>
      <c r="P229" s="13"/>
      <c r="Q229" s="13"/>
      <c r="R229" s="13"/>
      <c r="S229" s="13"/>
      <c r="T229" s="13"/>
      <c r="U229" s="13"/>
      <c r="V229" s="13"/>
      <c r="W229" s="13"/>
      <c r="X229" s="13"/>
      <c r="Y229" s="13"/>
      <c r="Z229" s="13"/>
      <c r="AA229" s="13"/>
      <c r="AB229" s="13"/>
      <c r="AC229" s="13"/>
      <c r="AD229" s="13"/>
    </row>
    <row r="230" spans="1:30" ht="12.75" customHeight="1" x14ac:dyDescent="0.25">
      <c r="A230" s="21"/>
      <c r="B230" s="13"/>
      <c r="C230" s="13"/>
      <c r="D230" s="13"/>
      <c r="E230" s="13"/>
      <c r="F230" s="13"/>
      <c r="G230" s="22"/>
      <c r="H230" s="22"/>
      <c r="I230" s="23"/>
      <c r="J230" s="13"/>
      <c r="K230" s="13"/>
      <c r="L230" s="13"/>
      <c r="M230" s="13"/>
      <c r="N230" s="13"/>
      <c r="O230" s="13"/>
      <c r="P230" s="13"/>
      <c r="Q230" s="13"/>
      <c r="R230" s="13"/>
      <c r="S230" s="13"/>
      <c r="T230" s="13"/>
      <c r="U230" s="13"/>
      <c r="V230" s="13"/>
      <c r="W230" s="13"/>
      <c r="X230" s="13"/>
      <c r="Y230" s="13"/>
      <c r="Z230" s="13"/>
      <c r="AA230" s="13"/>
      <c r="AB230" s="13"/>
      <c r="AC230" s="13"/>
      <c r="AD230" s="13"/>
    </row>
    <row r="231" spans="1:30" ht="12.75" customHeight="1" x14ac:dyDescent="0.25">
      <c r="A231" s="21"/>
      <c r="B231" s="13"/>
      <c r="C231" s="13"/>
      <c r="D231" s="13"/>
      <c r="E231" s="13"/>
      <c r="F231" s="13"/>
      <c r="G231" s="22"/>
      <c r="H231" s="22"/>
      <c r="I231" s="23"/>
      <c r="J231" s="13"/>
      <c r="K231" s="13"/>
      <c r="L231" s="13"/>
      <c r="M231" s="13"/>
      <c r="N231" s="13"/>
      <c r="O231" s="13"/>
      <c r="P231" s="13"/>
      <c r="Q231" s="13"/>
      <c r="R231" s="13"/>
      <c r="S231" s="13"/>
      <c r="T231" s="13"/>
      <c r="U231" s="13"/>
      <c r="V231" s="13"/>
      <c r="W231" s="13"/>
      <c r="X231" s="13"/>
      <c r="Y231" s="13"/>
      <c r="Z231" s="13"/>
      <c r="AA231" s="13"/>
      <c r="AB231" s="13"/>
      <c r="AC231" s="13"/>
      <c r="AD231" s="13"/>
    </row>
    <row r="232" spans="1:30" ht="12.75" customHeight="1" x14ac:dyDescent="0.25">
      <c r="A232" s="21"/>
      <c r="B232" s="13"/>
      <c r="C232" s="13"/>
      <c r="D232" s="13"/>
      <c r="E232" s="13"/>
      <c r="F232" s="13"/>
      <c r="G232" s="22"/>
      <c r="H232" s="22"/>
      <c r="I232" s="23"/>
      <c r="J232" s="13"/>
      <c r="K232" s="13"/>
      <c r="L232" s="13"/>
      <c r="M232" s="13"/>
      <c r="N232" s="13"/>
      <c r="O232" s="13"/>
      <c r="P232" s="13"/>
      <c r="Q232" s="13"/>
      <c r="R232" s="13"/>
      <c r="S232" s="13"/>
      <c r="T232" s="13"/>
      <c r="U232" s="13"/>
      <c r="V232" s="13"/>
      <c r="W232" s="13"/>
      <c r="X232" s="13"/>
      <c r="Y232" s="13"/>
      <c r="Z232" s="13"/>
      <c r="AA232" s="13"/>
      <c r="AB232" s="13"/>
      <c r="AC232" s="13"/>
      <c r="AD232" s="13"/>
    </row>
    <row r="233" spans="1:30" ht="12.75" customHeight="1" x14ac:dyDescent="0.25">
      <c r="A233" s="21"/>
      <c r="B233" s="13"/>
      <c r="C233" s="13"/>
      <c r="D233" s="13"/>
      <c r="E233" s="13"/>
      <c r="F233" s="13"/>
      <c r="G233" s="22"/>
      <c r="H233" s="22"/>
      <c r="I233" s="23"/>
      <c r="J233" s="13"/>
      <c r="K233" s="13"/>
      <c r="L233" s="13"/>
      <c r="M233" s="13"/>
      <c r="N233" s="13"/>
      <c r="O233" s="13"/>
      <c r="P233" s="13"/>
      <c r="Q233" s="13"/>
      <c r="R233" s="13"/>
      <c r="S233" s="13"/>
      <c r="T233" s="13"/>
      <c r="U233" s="13"/>
      <c r="V233" s="13"/>
      <c r="W233" s="13"/>
      <c r="X233" s="13"/>
      <c r="Y233" s="13"/>
      <c r="Z233" s="13"/>
      <c r="AA233" s="13"/>
      <c r="AB233" s="13"/>
      <c r="AC233" s="13"/>
      <c r="AD233" s="13"/>
    </row>
    <row r="234" spans="1:30" ht="12.75" customHeight="1" x14ac:dyDescent="0.25">
      <c r="A234" s="21"/>
      <c r="B234" s="13"/>
      <c r="C234" s="13"/>
      <c r="D234" s="13"/>
      <c r="E234" s="13"/>
      <c r="F234" s="13"/>
      <c r="G234" s="22"/>
      <c r="H234" s="22"/>
      <c r="I234" s="23"/>
      <c r="J234" s="13"/>
      <c r="K234" s="13"/>
      <c r="L234" s="13"/>
      <c r="M234" s="13"/>
      <c r="N234" s="13"/>
      <c r="O234" s="13"/>
      <c r="P234" s="13"/>
      <c r="Q234" s="13"/>
      <c r="R234" s="13"/>
      <c r="S234" s="13"/>
      <c r="T234" s="13"/>
      <c r="U234" s="13"/>
      <c r="V234" s="13"/>
      <c r="W234" s="13"/>
      <c r="X234" s="13"/>
      <c r="Y234" s="13"/>
      <c r="Z234" s="13"/>
      <c r="AA234" s="13"/>
      <c r="AB234" s="13"/>
      <c r="AC234" s="13"/>
      <c r="AD234" s="13"/>
    </row>
    <row r="235" spans="1:30" ht="12.75" customHeight="1" x14ac:dyDescent="0.25">
      <c r="A235" s="21"/>
      <c r="B235" s="13"/>
      <c r="C235" s="13"/>
      <c r="D235" s="13"/>
      <c r="E235" s="13"/>
      <c r="F235" s="13"/>
      <c r="G235" s="22"/>
      <c r="H235" s="22"/>
      <c r="I235" s="23"/>
      <c r="J235" s="13"/>
      <c r="K235" s="13"/>
      <c r="L235" s="13"/>
      <c r="M235" s="13"/>
      <c r="N235" s="13"/>
      <c r="O235" s="13"/>
      <c r="P235" s="13"/>
      <c r="Q235" s="13"/>
      <c r="R235" s="13"/>
      <c r="S235" s="13"/>
      <c r="T235" s="13"/>
      <c r="U235" s="13"/>
      <c r="V235" s="13"/>
      <c r="W235" s="13"/>
      <c r="X235" s="13"/>
      <c r="Y235" s="13"/>
      <c r="Z235" s="13"/>
      <c r="AA235" s="13"/>
      <c r="AB235" s="13"/>
      <c r="AC235" s="13"/>
      <c r="AD235" s="13"/>
    </row>
    <row r="236" spans="1:30" ht="12.75" customHeight="1" x14ac:dyDescent="0.25">
      <c r="A236" s="21"/>
      <c r="B236" s="13"/>
      <c r="C236" s="13"/>
      <c r="D236" s="13"/>
      <c r="E236" s="13"/>
      <c r="F236" s="13"/>
      <c r="G236" s="22"/>
      <c r="H236" s="22"/>
      <c r="I236" s="23"/>
      <c r="J236" s="13"/>
      <c r="K236" s="13"/>
      <c r="L236" s="13"/>
      <c r="M236" s="13"/>
      <c r="N236" s="13"/>
      <c r="O236" s="13"/>
      <c r="P236" s="13"/>
      <c r="Q236" s="13"/>
      <c r="R236" s="13"/>
      <c r="S236" s="13"/>
      <c r="T236" s="13"/>
      <c r="U236" s="13"/>
      <c r="V236" s="13"/>
      <c r="W236" s="13"/>
      <c r="X236" s="13"/>
      <c r="Y236" s="13"/>
      <c r="Z236" s="13"/>
      <c r="AA236" s="13"/>
      <c r="AB236" s="13"/>
      <c r="AC236" s="13"/>
      <c r="AD236" s="13"/>
    </row>
    <row r="237" spans="1:30" ht="12.75" customHeight="1" x14ac:dyDescent="0.25">
      <c r="A237" s="21"/>
      <c r="B237" s="13"/>
      <c r="C237" s="13"/>
      <c r="D237" s="13"/>
      <c r="E237" s="13"/>
      <c r="F237" s="13"/>
      <c r="G237" s="22"/>
      <c r="H237" s="22"/>
      <c r="I237" s="23"/>
      <c r="J237" s="13"/>
      <c r="K237" s="13"/>
      <c r="L237" s="13"/>
      <c r="M237" s="13"/>
      <c r="N237" s="13"/>
      <c r="O237" s="13"/>
      <c r="P237" s="13"/>
      <c r="Q237" s="13"/>
      <c r="R237" s="13"/>
      <c r="S237" s="13"/>
      <c r="T237" s="13"/>
      <c r="U237" s="13"/>
      <c r="V237" s="13"/>
      <c r="W237" s="13"/>
      <c r="X237" s="13"/>
      <c r="Y237" s="13"/>
      <c r="Z237" s="13"/>
      <c r="AA237" s="13"/>
      <c r="AB237" s="13"/>
      <c r="AC237" s="13"/>
      <c r="AD237" s="13"/>
    </row>
    <row r="238" spans="1:30" ht="12.75" customHeight="1" x14ac:dyDescent="0.25">
      <c r="A238" s="21"/>
      <c r="B238" s="13"/>
      <c r="C238" s="13"/>
      <c r="D238" s="13"/>
      <c r="E238" s="13"/>
      <c r="F238" s="13"/>
      <c r="G238" s="22"/>
      <c r="H238" s="22"/>
      <c r="I238" s="23"/>
      <c r="J238" s="13"/>
      <c r="K238" s="13"/>
      <c r="L238" s="13"/>
      <c r="M238" s="13"/>
      <c r="N238" s="13"/>
      <c r="O238" s="13"/>
      <c r="P238" s="13"/>
      <c r="Q238" s="13"/>
      <c r="R238" s="13"/>
      <c r="S238" s="13"/>
      <c r="T238" s="13"/>
      <c r="U238" s="13"/>
      <c r="V238" s="13"/>
      <c r="W238" s="13"/>
      <c r="X238" s="13"/>
      <c r="Y238" s="13"/>
      <c r="Z238" s="13"/>
      <c r="AA238" s="13"/>
      <c r="AB238" s="13"/>
      <c r="AC238" s="13"/>
      <c r="AD238" s="13"/>
    </row>
    <row r="239" spans="1:30" ht="12.75" customHeight="1" x14ac:dyDescent="0.25">
      <c r="A239" s="21"/>
      <c r="B239" s="13"/>
      <c r="C239" s="13"/>
      <c r="D239" s="13"/>
      <c r="E239" s="13"/>
      <c r="F239" s="13"/>
      <c r="G239" s="22"/>
      <c r="H239" s="22"/>
      <c r="I239" s="23"/>
      <c r="J239" s="13"/>
      <c r="K239" s="13"/>
      <c r="L239" s="13"/>
      <c r="M239" s="13"/>
      <c r="N239" s="13"/>
      <c r="O239" s="13"/>
      <c r="P239" s="13"/>
      <c r="Q239" s="13"/>
      <c r="R239" s="13"/>
      <c r="S239" s="13"/>
      <c r="T239" s="13"/>
      <c r="U239" s="13"/>
      <c r="V239" s="13"/>
      <c r="W239" s="13"/>
      <c r="X239" s="13"/>
      <c r="Y239" s="13"/>
      <c r="Z239" s="13"/>
      <c r="AA239" s="13"/>
      <c r="AB239" s="13"/>
      <c r="AC239" s="13"/>
      <c r="AD239" s="13"/>
    </row>
    <row r="240" spans="1:30" ht="12.75" customHeight="1" x14ac:dyDescent="0.25">
      <c r="A240" s="21"/>
      <c r="B240" s="13"/>
      <c r="C240" s="13"/>
      <c r="D240" s="13"/>
      <c r="E240" s="13"/>
      <c r="F240" s="13"/>
      <c r="G240" s="22"/>
      <c r="H240" s="22"/>
      <c r="I240" s="23"/>
      <c r="J240" s="13"/>
      <c r="K240" s="13"/>
      <c r="L240" s="13"/>
      <c r="M240" s="13"/>
      <c r="N240" s="13"/>
      <c r="O240" s="13"/>
      <c r="P240" s="13"/>
      <c r="Q240" s="13"/>
      <c r="R240" s="13"/>
      <c r="S240" s="13"/>
      <c r="T240" s="13"/>
      <c r="U240" s="13"/>
      <c r="V240" s="13"/>
      <c r="W240" s="13"/>
      <c r="X240" s="13"/>
      <c r="Y240" s="13"/>
      <c r="Z240" s="13"/>
      <c r="AA240" s="13"/>
      <c r="AB240" s="13"/>
      <c r="AC240" s="13"/>
      <c r="AD240" s="13"/>
    </row>
    <row r="241" spans="1:30" ht="12.75" customHeight="1" x14ac:dyDescent="0.25">
      <c r="A241" s="21"/>
      <c r="B241" s="13"/>
      <c r="C241" s="13"/>
      <c r="D241" s="13"/>
      <c r="E241" s="13"/>
      <c r="F241" s="13"/>
      <c r="G241" s="22"/>
      <c r="H241" s="22"/>
      <c r="I241" s="23"/>
      <c r="J241" s="13"/>
      <c r="K241" s="13"/>
      <c r="L241" s="13"/>
      <c r="M241" s="13"/>
      <c r="N241" s="13"/>
      <c r="O241" s="13"/>
      <c r="P241" s="13"/>
      <c r="Q241" s="13"/>
      <c r="R241" s="13"/>
      <c r="S241" s="13"/>
      <c r="T241" s="13"/>
      <c r="U241" s="13"/>
      <c r="V241" s="13"/>
      <c r="W241" s="13"/>
      <c r="X241" s="13"/>
      <c r="Y241" s="13"/>
      <c r="Z241" s="13"/>
      <c r="AA241" s="13"/>
      <c r="AB241" s="13"/>
      <c r="AC241" s="13"/>
      <c r="AD241" s="13"/>
    </row>
    <row r="242" spans="1:30" ht="12.75" customHeight="1" x14ac:dyDescent="0.25">
      <c r="A242" s="21"/>
      <c r="B242" s="13"/>
      <c r="C242" s="13"/>
      <c r="D242" s="13"/>
      <c r="E242" s="13"/>
      <c r="F242" s="13"/>
      <c r="G242" s="22"/>
      <c r="H242" s="22"/>
      <c r="I242" s="23"/>
      <c r="J242" s="13"/>
      <c r="K242" s="13"/>
      <c r="L242" s="13"/>
      <c r="M242" s="13"/>
      <c r="N242" s="13"/>
      <c r="O242" s="13"/>
      <c r="P242" s="13"/>
      <c r="Q242" s="13"/>
      <c r="R242" s="13"/>
      <c r="S242" s="13"/>
      <c r="T242" s="13"/>
      <c r="U242" s="13"/>
      <c r="V242" s="13"/>
      <c r="W242" s="13"/>
      <c r="X242" s="13"/>
      <c r="Y242" s="13"/>
      <c r="Z242" s="13"/>
      <c r="AA242" s="13"/>
      <c r="AB242" s="13"/>
      <c r="AC242" s="13"/>
      <c r="AD242" s="13"/>
    </row>
    <row r="243" spans="1:30" ht="12.75" customHeight="1" x14ac:dyDescent="0.25">
      <c r="A243" s="21"/>
      <c r="B243" s="13"/>
      <c r="C243" s="13"/>
      <c r="D243" s="13"/>
      <c r="E243" s="13"/>
      <c r="F243" s="13"/>
      <c r="G243" s="22"/>
      <c r="H243" s="22"/>
      <c r="I243" s="23"/>
      <c r="J243" s="13"/>
      <c r="K243" s="13"/>
      <c r="L243" s="13"/>
      <c r="M243" s="13"/>
      <c r="N243" s="13"/>
      <c r="O243" s="13"/>
      <c r="P243" s="13"/>
      <c r="Q243" s="13"/>
      <c r="R243" s="13"/>
      <c r="S243" s="13"/>
      <c r="T243" s="13"/>
      <c r="U243" s="13"/>
      <c r="V243" s="13"/>
      <c r="W243" s="13"/>
      <c r="X243" s="13"/>
      <c r="Y243" s="13"/>
      <c r="Z243" s="13"/>
      <c r="AA243" s="13"/>
      <c r="AB243" s="13"/>
      <c r="AC243" s="13"/>
      <c r="AD243" s="13"/>
    </row>
    <row r="244" spans="1:30" ht="12.75" customHeight="1" x14ac:dyDescent="0.25">
      <c r="A244" s="21"/>
      <c r="B244" s="13"/>
      <c r="C244" s="13"/>
      <c r="D244" s="13"/>
      <c r="E244" s="13"/>
      <c r="F244" s="13"/>
      <c r="G244" s="22"/>
      <c r="H244" s="22"/>
      <c r="I244" s="23"/>
      <c r="J244" s="13"/>
      <c r="K244" s="13"/>
      <c r="L244" s="13"/>
      <c r="M244" s="13"/>
      <c r="N244" s="13"/>
      <c r="O244" s="13"/>
      <c r="P244" s="13"/>
      <c r="Q244" s="13"/>
      <c r="R244" s="13"/>
      <c r="S244" s="13"/>
      <c r="T244" s="13"/>
      <c r="U244" s="13"/>
      <c r="V244" s="13"/>
      <c r="W244" s="13"/>
      <c r="X244" s="13"/>
      <c r="Y244" s="13"/>
      <c r="Z244" s="13"/>
      <c r="AA244" s="13"/>
      <c r="AB244" s="13"/>
      <c r="AC244" s="13"/>
      <c r="AD244" s="13"/>
    </row>
    <row r="245" spans="1:30" ht="12.75" customHeight="1" x14ac:dyDescent="0.25">
      <c r="A245" s="21"/>
      <c r="B245" s="13"/>
      <c r="C245" s="13"/>
      <c r="D245" s="13"/>
      <c r="E245" s="13"/>
      <c r="F245" s="13"/>
      <c r="G245" s="22"/>
      <c r="H245" s="22"/>
      <c r="I245" s="23"/>
      <c r="J245" s="13"/>
      <c r="K245" s="13"/>
      <c r="L245" s="13"/>
      <c r="M245" s="13"/>
      <c r="N245" s="13"/>
      <c r="O245" s="13"/>
      <c r="P245" s="13"/>
      <c r="Q245" s="13"/>
      <c r="R245" s="13"/>
      <c r="S245" s="13"/>
      <c r="T245" s="13"/>
      <c r="U245" s="13"/>
      <c r="V245" s="13"/>
      <c r="W245" s="13"/>
      <c r="X245" s="13"/>
      <c r="Y245" s="13"/>
      <c r="Z245" s="13"/>
      <c r="AA245" s="13"/>
      <c r="AB245" s="13"/>
      <c r="AC245" s="13"/>
      <c r="AD245" s="13"/>
    </row>
    <row r="246" spans="1:30" ht="12.75" customHeight="1" x14ac:dyDescent="0.25">
      <c r="A246" s="21"/>
      <c r="B246" s="13"/>
      <c r="C246" s="13"/>
      <c r="D246" s="13"/>
      <c r="E246" s="13"/>
      <c r="F246" s="13"/>
      <c r="G246" s="22"/>
      <c r="H246" s="22"/>
      <c r="I246" s="23"/>
      <c r="J246" s="13"/>
      <c r="K246" s="13"/>
      <c r="L246" s="13"/>
      <c r="M246" s="13"/>
      <c r="N246" s="13"/>
      <c r="O246" s="13"/>
      <c r="P246" s="13"/>
      <c r="Q246" s="13"/>
      <c r="R246" s="13"/>
      <c r="S246" s="13"/>
      <c r="T246" s="13"/>
      <c r="U246" s="13"/>
      <c r="V246" s="13"/>
      <c r="W246" s="13"/>
      <c r="X246" s="13"/>
      <c r="Y246" s="13"/>
      <c r="Z246" s="13"/>
      <c r="AA246" s="13"/>
      <c r="AB246" s="13"/>
      <c r="AC246" s="13"/>
      <c r="AD246" s="13"/>
    </row>
    <row r="247" spans="1:30" ht="12.75" customHeight="1" x14ac:dyDescent="0.25">
      <c r="A247" s="21"/>
      <c r="B247" s="13"/>
      <c r="C247" s="13"/>
      <c r="D247" s="13"/>
      <c r="E247" s="13"/>
      <c r="F247" s="13"/>
      <c r="G247" s="22"/>
      <c r="H247" s="22"/>
      <c r="I247" s="23"/>
      <c r="J247" s="13"/>
      <c r="K247" s="13"/>
      <c r="L247" s="13"/>
      <c r="M247" s="13"/>
      <c r="N247" s="13"/>
      <c r="O247" s="13"/>
      <c r="P247" s="13"/>
      <c r="Q247" s="13"/>
      <c r="R247" s="13"/>
      <c r="S247" s="13"/>
      <c r="T247" s="13"/>
      <c r="U247" s="13"/>
      <c r="V247" s="13"/>
      <c r="W247" s="13"/>
      <c r="X247" s="13"/>
      <c r="Y247" s="13"/>
      <c r="Z247" s="13"/>
      <c r="AA247" s="13"/>
      <c r="AB247" s="13"/>
      <c r="AC247" s="13"/>
      <c r="AD247" s="13"/>
    </row>
    <row r="248" spans="1:30" ht="12.75" customHeight="1" x14ac:dyDescent="0.25">
      <c r="A248" s="21"/>
      <c r="B248" s="13"/>
      <c r="C248" s="13"/>
      <c r="D248" s="13"/>
      <c r="E248" s="13"/>
      <c r="F248" s="13"/>
      <c r="G248" s="22"/>
      <c r="H248" s="22"/>
      <c r="I248" s="23"/>
      <c r="J248" s="13"/>
      <c r="K248" s="13"/>
      <c r="L248" s="13"/>
      <c r="M248" s="13"/>
      <c r="N248" s="13"/>
      <c r="O248" s="13"/>
      <c r="P248" s="13"/>
      <c r="Q248" s="13"/>
      <c r="R248" s="13"/>
      <c r="S248" s="13"/>
      <c r="T248" s="13"/>
      <c r="U248" s="13"/>
      <c r="V248" s="13"/>
      <c r="W248" s="13"/>
      <c r="X248" s="13"/>
      <c r="Y248" s="13"/>
      <c r="Z248" s="13"/>
      <c r="AA248" s="13"/>
      <c r="AB248" s="13"/>
      <c r="AC248" s="13"/>
      <c r="AD248" s="13"/>
    </row>
    <row r="249" spans="1:30" ht="12.75" customHeight="1" x14ac:dyDescent="0.25">
      <c r="A249" s="21"/>
      <c r="B249" s="13"/>
      <c r="C249" s="13"/>
      <c r="D249" s="13"/>
      <c r="E249" s="13"/>
      <c r="F249" s="13"/>
      <c r="G249" s="22"/>
      <c r="H249" s="22"/>
      <c r="I249" s="23"/>
      <c r="J249" s="13"/>
      <c r="K249" s="13"/>
      <c r="L249" s="13"/>
      <c r="M249" s="13"/>
      <c r="N249" s="13"/>
      <c r="O249" s="13"/>
      <c r="P249" s="13"/>
      <c r="Q249" s="13"/>
      <c r="R249" s="13"/>
      <c r="S249" s="13"/>
      <c r="T249" s="13"/>
      <c r="U249" s="13"/>
      <c r="V249" s="13"/>
      <c r="W249" s="13"/>
      <c r="X249" s="13"/>
      <c r="Y249" s="13"/>
      <c r="Z249" s="13"/>
      <c r="AA249" s="13"/>
      <c r="AB249" s="13"/>
      <c r="AC249" s="13"/>
      <c r="AD249" s="13"/>
    </row>
    <row r="250" spans="1:30" ht="12.75" customHeight="1" x14ac:dyDescent="0.25">
      <c r="A250" s="21"/>
      <c r="B250" s="13"/>
      <c r="C250" s="13"/>
      <c r="D250" s="13"/>
      <c r="E250" s="13"/>
      <c r="F250" s="13"/>
      <c r="G250" s="22"/>
      <c r="H250" s="22"/>
      <c r="I250" s="23"/>
      <c r="J250" s="13"/>
      <c r="K250" s="13"/>
      <c r="L250" s="13"/>
      <c r="M250" s="13"/>
      <c r="N250" s="13"/>
      <c r="O250" s="13"/>
      <c r="P250" s="13"/>
      <c r="Q250" s="13"/>
      <c r="R250" s="13"/>
      <c r="S250" s="13"/>
      <c r="T250" s="13"/>
      <c r="U250" s="13"/>
      <c r="V250" s="13"/>
      <c r="W250" s="13"/>
      <c r="X250" s="13"/>
      <c r="Y250" s="13"/>
      <c r="Z250" s="13"/>
      <c r="AA250" s="13"/>
      <c r="AB250" s="13"/>
      <c r="AC250" s="13"/>
      <c r="AD250" s="13"/>
    </row>
    <row r="251" spans="1:30" ht="12.75" customHeight="1" x14ac:dyDescent="0.25">
      <c r="A251" s="21"/>
      <c r="B251" s="13"/>
      <c r="C251" s="13"/>
      <c r="D251" s="13"/>
      <c r="E251" s="13"/>
      <c r="F251" s="13"/>
      <c r="G251" s="22"/>
      <c r="H251" s="22"/>
      <c r="I251" s="23"/>
      <c r="J251" s="13"/>
      <c r="K251" s="13"/>
      <c r="L251" s="13"/>
      <c r="M251" s="13"/>
      <c r="N251" s="13"/>
      <c r="O251" s="13"/>
      <c r="P251" s="13"/>
      <c r="Q251" s="13"/>
      <c r="R251" s="13"/>
      <c r="S251" s="13"/>
      <c r="T251" s="13"/>
      <c r="U251" s="13"/>
      <c r="V251" s="13"/>
      <c r="W251" s="13"/>
      <c r="X251" s="13"/>
      <c r="Y251" s="13"/>
      <c r="Z251" s="13"/>
      <c r="AA251" s="13"/>
      <c r="AB251" s="13"/>
      <c r="AC251" s="13"/>
      <c r="AD251" s="13"/>
    </row>
    <row r="252" spans="1:30" ht="12.75" customHeight="1" x14ac:dyDescent="0.25">
      <c r="A252" s="21"/>
      <c r="B252" s="13"/>
      <c r="C252" s="13"/>
      <c r="D252" s="13"/>
      <c r="E252" s="13"/>
      <c r="F252" s="13"/>
      <c r="G252" s="22"/>
      <c r="H252" s="22"/>
      <c r="I252" s="23"/>
      <c r="J252" s="13"/>
      <c r="K252" s="13"/>
      <c r="L252" s="13"/>
      <c r="M252" s="13"/>
      <c r="N252" s="13"/>
      <c r="O252" s="13"/>
      <c r="P252" s="13"/>
      <c r="Q252" s="13"/>
      <c r="R252" s="13"/>
      <c r="S252" s="13"/>
      <c r="T252" s="13"/>
      <c r="U252" s="13"/>
      <c r="V252" s="13"/>
      <c r="W252" s="13"/>
      <c r="X252" s="13"/>
      <c r="Y252" s="13"/>
      <c r="Z252" s="13"/>
      <c r="AA252" s="13"/>
      <c r="AB252" s="13"/>
      <c r="AC252" s="13"/>
      <c r="AD252" s="13"/>
    </row>
    <row r="253" spans="1:30" ht="12.75" customHeight="1" x14ac:dyDescent="0.25">
      <c r="A253" s="21"/>
      <c r="B253" s="13"/>
      <c r="C253" s="13"/>
      <c r="D253" s="13"/>
      <c r="E253" s="13"/>
      <c r="F253" s="13"/>
      <c r="G253" s="22"/>
      <c r="H253" s="22"/>
      <c r="I253" s="23"/>
      <c r="J253" s="13"/>
      <c r="K253" s="13"/>
      <c r="L253" s="13"/>
      <c r="M253" s="13"/>
      <c r="N253" s="13"/>
      <c r="O253" s="13"/>
      <c r="P253" s="13"/>
      <c r="Q253" s="13"/>
      <c r="R253" s="13"/>
      <c r="S253" s="13"/>
      <c r="T253" s="13"/>
      <c r="U253" s="13"/>
      <c r="V253" s="13"/>
      <c r="W253" s="13"/>
      <c r="X253" s="13"/>
      <c r="Y253" s="13"/>
      <c r="Z253" s="13"/>
      <c r="AA253" s="13"/>
      <c r="AB253" s="13"/>
      <c r="AC253" s="13"/>
      <c r="AD253" s="13"/>
    </row>
    <row r="254" spans="1:30" ht="12.75" customHeight="1" x14ac:dyDescent="0.25">
      <c r="A254" s="21"/>
      <c r="B254" s="13"/>
      <c r="C254" s="13"/>
      <c r="D254" s="13"/>
      <c r="E254" s="13"/>
      <c r="F254" s="13"/>
      <c r="G254" s="22"/>
      <c r="H254" s="22"/>
      <c r="I254" s="23"/>
      <c r="J254" s="13"/>
      <c r="K254" s="13"/>
      <c r="L254" s="13"/>
      <c r="M254" s="13"/>
      <c r="N254" s="13"/>
      <c r="O254" s="13"/>
      <c r="P254" s="13"/>
      <c r="Q254" s="13"/>
      <c r="R254" s="13"/>
      <c r="S254" s="13"/>
      <c r="T254" s="13"/>
      <c r="U254" s="13"/>
      <c r="V254" s="13"/>
      <c r="W254" s="13"/>
      <c r="X254" s="13"/>
      <c r="Y254" s="13"/>
      <c r="Z254" s="13"/>
      <c r="AA254" s="13"/>
      <c r="AB254" s="13"/>
      <c r="AC254" s="13"/>
      <c r="AD254" s="13"/>
    </row>
    <row r="255" spans="1:30" ht="12.75" customHeight="1" x14ac:dyDescent="0.25">
      <c r="A255" s="21"/>
      <c r="B255" s="13"/>
      <c r="C255" s="13"/>
      <c r="D255" s="13"/>
      <c r="E255" s="13"/>
      <c r="F255" s="13"/>
      <c r="G255" s="22"/>
      <c r="H255" s="22"/>
      <c r="I255" s="23"/>
      <c r="J255" s="13"/>
      <c r="K255" s="13"/>
      <c r="L255" s="13"/>
      <c r="M255" s="13"/>
      <c r="N255" s="13"/>
      <c r="O255" s="13"/>
      <c r="P255" s="13"/>
      <c r="Q255" s="13"/>
      <c r="R255" s="13"/>
      <c r="S255" s="13"/>
      <c r="T255" s="13"/>
      <c r="U255" s="13"/>
      <c r="V255" s="13"/>
      <c r="W255" s="13"/>
      <c r="X255" s="13"/>
      <c r="Y255" s="13"/>
      <c r="Z255" s="13"/>
      <c r="AA255" s="13"/>
      <c r="AB255" s="13"/>
      <c r="AC255" s="13"/>
      <c r="AD255" s="13"/>
    </row>
    <row r="256" spans="1:30" ht="12.75" customHeight="1" x14ac:dyDescent="0.25">
      <c r="A256" s="21"/>
      <c r="B256" s="13"/>
      <c r="C256" s="13"/>
      <c r="D256" s="13"/>
      <c r="E256" s="13"/>
      <c r="F256" s="13"/>
      <c r="G256" s="22"/>
      <c r="H256" s="22"/>
      <c r="I256" s="23"/>
      <c r="J256" s="13"/>
      <c r="K256" s="13"/>
      <c r="L256" s="13"/>
      <c r="M256" s="13"/>
      <c r="N256" s="13"/>
      <c r="O256" s="13"/>
      <c r="P256" s="13"/>
      <c r="Q256" s="13"/>
      <c r="R256" s="13"/>
      <c r="S256" s="13"/>
      <c r="T256" s="13"/>
      <c r="U256" s="13"/>
      <c r="V256" s="13"/>
      <c r="W256" s="13"/>
      <c r="X256" s="13"/>
      <c r="Y256" s="13"/>
      <c r="Z256" s="13"/>
      <c r="AA256" s="13"/>
      <c r="AB256" s="13"/>
      <c r="AC256" s="13"/>
      <c r="AD256" s="13"/>
    </row>
    <row r="257" spans="1:30" ht="12.75" customHeight="1" x14ac:dyDescent="0.25">
      <c r="A257" s="21"/>
      <c r="B257" s="13"/>
      <c r="C257" s="13"/>
      <c r="D257" s="13"/>
      <c r="E257" s="13"/>
      <c r="F257" s="13"/>
      <c r="G257" s="22"/>
      <c r="H257" s="22"/>
      <c r="I257" s="23"/>
      <c r="J257" s="13"/>
      <c r="K257" s="13"/>
      <c r="L257" s="13"/>
      <c r="M257" s="13"/>
      <c r="N257" s="13"/>
      <c r="O257" s="13"/>
      <c r="P257" s="13"/>
      <c r="Q257" s="13"/>
      <c r="R257" s="13"/>
      <c r="S257" s="13"/>
      <c r="T257" s="13"/>
      <c r="U257" s="13"/>
      <c r="V257" s="13"/>
      <c r="W257" s="13"/>
      <c r="X257" s="13"/>
      <c r="Y257" s="13"/>
      <c r="Z257" s="13"/>
      <c r="AA257" s="13"/>
      <c r="AB257" s="13"/>
      <c r="AC257" s="13"/>
      <c r="AD257" s="13"/>
    </row>
    <row r="258" spans="1:30" ht="12.75" customHeight="1" x14ac:dyDescent="0.25">
      <c r="A258" s="21"/>
      <c r="B258" s="13"/>
      <c r="C258" s="13"/>
      <c r="D258" s="13"/>
      <c r="E258" s="13"/>
      <c r="F258" s="13"/>
      <c r="G258" s="22"/>
      <c r="H258" s="22"/>
      <c r="I258" s="23"/>
      <c r="J258" s="13"/>
      <c r="K258" s="13"/>
      <c r="L258" s="13"/>
      <c r="M258" s="13"/>
      <c r="N258" s="13"/>
      <c r="O258" s="13"/>
      <c r="P258" s="13"/>
      <c r="Q258" s="13"/>
      <c r="R258" s="13"/>
      <c r="S258" s="13"/>
      <c r="T258" s="13"/>
      <c r="U258" s="13"/>
      <c r="V258" s="13"/>
      <c r="W258" s="13"/>
      <c r="X258" s="13"/>
      <c r="Y258" s="13"/>
      <c r="Z258" s="13"/>
      <c r="AA258" s="13"/>
      <c r="AB258" s="13"/>
      <c r="AC258" s="13"/>
      <c r="AD258" s="13"/>
    </row>
    <row r="259" spans="1:30" ht="12.75" customHeight="1" x14ac:dyDescent="0.25">
      <c r="A259" s="21"/>
      <c r="B259" s="13"/>
      <c r="C259" s="13"/>
      <c r="D259" s="13"/>
      <c r="E259" s="13"/>
      <c r="F259" s="13"/>
      <c r="G259" s="22"/>
      <c r="H259" s="22"/>
      <c r="I259" s="23"/>
      <c r="J259" s="13"/>
      <c r="K259" s="13"/>
      <c r="L259" s="13"/>
      <c r="M259" s="13"/>
      <c r="N259" s="13"/>
      <c r="O259" s="13"/>
      <c r="P259" s="13"/>
      <c r="Q259" s="13"/>
      <c r="R259" s="13"/>
      <c r="S259" s="13"/>
      <c r="T259" s="13"/>
      <c r="U259" s="13"/>
      <c r="V259" s="13"/>
      <c r="W259" s="13"/>
      <c r="X259" s="13"/>
      <c r="Y259" s="13"/>
      <c r="Z259" s="13"/>
      <c r="AA259" s="13"/>
      <c r="AB259" s="13"/>
      <c r="AC259" s="13"/>
      <c r="AD259" s="13"/>
    </row>
    <row r="260" spans="1:30" ht="12.75" customHeight="1" x14ac:dyDescent="0.25">
      <c r="A260" s="21"/>
      <c r="B260" s="13"/>
      <c r="C260" s="13"/>
      <c r="D260" s="13"/>
      <c r="E260" s="13"/>
      <c r="F260" s="13"/>
      <c r="G260" s="22"/>
      <c r="H260" s="22"/>
      <c r="I260" s="23"/>
      <c r="J260" s="13"/>
      <c r="K260" s="13"/>
      <c r="L260" s="13"/>
      <c r="M260" s="13"/>
      <c r="N260" s="13"/>
      <c r="O260" s="13"/>
      <c r="P260" s="13"/>
      <c r="Q260" s="13"/>
      <c r="R260" s="13"/>
      <c r="S260" s="13"/>
      <c r="T260" s="13"/>
      <c r="U260" s="13"/>
      <c r="V260" s="13"/>
      <c r="W260" s="13"/>
      <c r="X260" s="13"/>
      <c r="Y260" s="13"/>
      <c r="Z260" s="13"/>
      <c r="AA260" s="13"/>
      <c r="AB260" s="13"/>
      <c r="AC260" s="13"/>
      <c r="AD260" s="13"/>
    </row>
    <row r="261" spans="1:30" ht="12.75" customHeight="1" x14ac:dyDescent="0.25">
      <c r="A261" s="21"/>
      <c r="B261" s="13"/>
      <c r="C261" s="13"/>
      <c r="D261" s="13"/>
      <c r="E261" s="13"/>
      <c r="F261" s="13"/>
      <c r="G261" s="22"/>
      <c r="H261" s="22"/>
      <c r="I261" s="23"/>
      <c r="J261" s="13"/>
      <c r="K261" s="13"/>
      <c r="L261" s="13"/>
      <c r="M261" s="13"/>
      <c r="N261" s="13"/>
      <c r="O261" s="13"/>
      <c r="P261" s="13"/>
      <c r="Q261" s="13"/>
      <c r="R261" s="13"/>
      <c r="S261" s="13"/>
      <c r="T261" s="13"/>
      <c r="U261" s="13"/>
      <c r="V261" s="13"/>
      <c r="W261" s="13"/>
      <c r="X261" s="13"/>
      <c r="Y261" s="13"/>
      <c r="Z261" s="13"/>
      <c r="AA261" s="13"/>
      <c r="AB261" s="13"/>
      <c r="AC261" s="13"/>
      <c r="AD261" s="13"/>
    </row>
    <row r="262" spans="1:30" ht="12.75" customHeight="1" x14ac:dyDescent="0.25">
      <c r="A262" s="21"/>
      <c r="B262" s="13"/>
      <c r="C262" s="13"/>
      <c r="D262" s="13"/>
      <c r="E262" s="13"/>
      <c r="F262" s="13"/>
      <c r="G262" s="22"/>
      <c r="H262" s="22"/>
      <c r="I262" s="23"/>
      <c r="J262" s="13"/>
      <c r="K262" s="13"/>
      <c r="L262" s="13"/>
      <c r="M262" s="13"/>
      <c r="N262" s="13"/>
      <c r="O262" s="13"/>
      <c r="P262" s="13"/>
      <c r="Q262" s="13"/>
      <c r="R262" s="13"/>
      <c r="S262" s="13"/>
      <c r="T262" s="13"/>
      <c r="U262" s="13"/>
      <c r="V262" s="13"/>
      <c r="W262" s="13"/>
      <c r="X262" s="13"/>
      <c r="Y262" s="13"/>
      <c r="Z262" s="13"/>
      <c r="AA262" s="13"/>
      <c r="AB262" s="13"/>
      <c r="AC262" s="13"/>
      <c r="AD262" s="13"/>
    </row>
    <row r="263" spans="1:30" ht="12.75" customHeight="1" x14ac:dyDescent="0.25">
      <c r="A263" s="21"/>
      <c r="B263" s="13"/>
      <c r="C263" s="13"/>
      <c r="D263" s="13"/>
      <c r="E263" s="13"/>
      <c r="F263" s="13"/>
      <c r="G263" s="22"/>
      <c r="H263" s="22"/>
      <c r="I263" s="23"/>
      <c r="J263" s="13"/>
      <c r="K263" s="13"/>
      <c r="L263" s="13"/>
      <c r="M263" s="13"/>
      <c r="N263" s="13"/>
      <c r="O263" s="13"/>
      <c r="P263" s="13"/>
      <c r="Q263" s="13"/>
      <c r="R263" s="13"/>
      <c r="S263" s="13"/>
      <c r="T263" s="13"/>
      <c r="U263" s="13"/>
      <c r="V263" s="13"/>
      <c r="W263" s="13"/>
      <c r="X263" s="13"/>
      <c r="Y263" s="13"/>
      <c r="Z263" s="13"/>
      <c r="AA263" s="13"/>
      <c r="AB263" s="13"/>
      <c r="AC263" s="13"/>
      <c r="AD263" s="13"/>
    </row>
    <row r="264" spans="1:30" ht="12.75" customHeight="1" x14ac:dyDescent="0.25">
      <c r="A264" s="21"/>
      <c r="B264" s="13"/>
      <c r="C264" s="13"/>
      <c r="D264" s="13"/>
      <c r="E264" s="13"/>
      <c r="F264" s="13"/>
      <c r="G264" s="22"/>
      <c r="H264" s="22"/>
      <c r="I264" s="23"/>
      <c r="J264" s="13"/>
      <c r="K264" s="13"/>
      <c r="L264" s="13"/>
      <c r="M264" s="13"/>
      <c r="N264" s="13"/>
      <c r="O264" s="13"/>
      <c r="P264" s="13"/>
      <c r="Q264" s="13"/>
      <c r="R264" s="13"/>
      <c r="S264" s="13"/>
      <c r="T264" s="13"/>
      <c r="U264" s="13"/>
      <c r="V264" s="13"/>
      <c r="W264" s="13"/>
      <c r="X264" s="13"/>
      <c r="Y264" s="13"/>
      <c r="Z264" s="13"/>
      <c r="AA264" s="13"/>
      <c r="AB264" s="13"/>
      <c r="AC264" s="13"/>
      <c r="AD264" s="13"/>
    </row>
    <row r="265" spans="1:30" ht="12.75" customHeight="1" x14ac:dyDescent="0.25">
      <c r="A265" s="21"/>
      <c r="B265" s="13"/>
      <c r="C265" s="13"/>
      <c r="D265" s="13"/>
      <c r="E265" s="13"/>
      <c r="F265" s="13"/>
      <c r="G265" s="22"/>
      <c r="H265" s="22"/>
      <c r="I265" s="23"/>
      <c r="J265" s="13"/>
      <c r="K265" s="13"/>
      <c r="L265" s="13"/>
      <c r="M265" s="13"/>
      <c r="N265" s="13"/>
      <c r="O265" s="13"/>
      <c r="P265" s="13"/>
      <c r="Q265" s="13"/>
      <c r="R265" s="13"/>
      <c r="S265" s="13"/>
      <c r="T265" s="13"/>
      <c r="U265" s="13"/>
      <c r="V265" s="13"/>
      <c r="W265" s="13"/>
      <c r="X265" s="13"/>
      <c r="Y265" s="13"/>
      <c r="Z265" s="13"/>
      <c r="AA265" s="13"/>
      <c r="AB265" s="13"/>
      <c r="AC265" s="13"/>
      <c r="AD265" s="13"/>
    </row>
    <row r="266" spans="1:30" ht="12.75" customHeight="1" x14ac:dyDescent="0.25">
      <c r="A266" s="21"/>
      <c r="B266" s="13"/>
      <c r="C266" s="13"/>
      <c r="D266" s="13"/>
      <c r="E266" s="13"/>
      <c r="F266" s="13"/>
      <c r="G266" s="22"/>
      <c r="H266" s="22"/>
      <c r="I266" s="23"/>
      <c r="J266" s="13"/>
      <c r="K266" s="13"/>
      <c r="L266" s="13"/>
      <c r="M266" s="13"/>
      <c r="N266" s="13"/>
      <c r="O266" s="13"/>
      <c r="P266" s="13"/>
      <c r="Q266" s="13"/>
      <c r="R266" s="13"/>
      <c r="S266" s="13"/>
      <c r="T266" s="13"/>
      <c r="U266" s="13"/>
      <c r="V266" s="13"/>
      <c r="W266" s="13"/>
      <c r="X266" s="13"/>
      <c r="Y266" s="13"/>
      <c r="Z266" s="13"/>
      <c r="AA266" s="13"/>
      <c r="AB266" s="13"/>
      <c r="AC266" s="13"/>
      <c r="AD266" s="13"/>
    </row>
    <row r="267" spans="1:30" ht="12.75" customHeight="1" x14ac:dyDescent="0.25">
      <c r="A267" s="21"/>
      <c r="B267" s="13"/>
      <c r="C267" s="13"/>
      <c r="D267" s="13"/>
      <c r="E267" s="13"/>
      <c r="F267" s="13"/>
      <c r="G267" s="22"/>
      <c r="H267" s="22"/>
      <c r="I267" s="23"/>
      <c r="J267" s="13"/>
      <c r="K267" s="13"/>
      <c r="L267" s="13"/>
      <c r="M267" s="13"/>
      <c r="N267" s="13"/>
      <c r="O267" s="13"/>
      <c r="P267" s="13"/>
      <c r="Q267" s="13"/>
      <c r="R267" s="13"/>
      <c r="S267" s="13"/>
      <c r="T267" s="13"/>
      <c r="U267" s="13"/>
      <c r="V267" s="13"/>
      <c r="W267" s="13"/>
      <c r="X267" s="13"/>
      <c r="Y267" s="13"/>
      <c r="Z267" s="13"/>
      <c r="AA267" s="13"/>
      <c r="AB267" s="13"/>
      <c r="AC267" s="13"/>
      <c r="AD267" s="13"/>
    </row>
    <row r="268" spans="1:30" ht="12.75" customHeight="1" x14ac:dyDescent="0.25">
      <c r="A268" s="21"/>
      <c r="B268" s="13"/>
      <c r="C268" s="13"/>
      <c r="D268" s="13"/>
      <c r="E268" s="13"/>
      <c r="F268" s="13"/>
      <c r="G268" s="22"/>
      <c r="H268" s="22"/>
      <c r="I268" s="23"/>
      <c r="J268" s="13"/>
      <c r="K268" s="13"/>
      <c r="L268" s="13"/>
      <c r="M268" s="13"/>
      <c r="N268" s="13"/>
      <c r="O268" s="13"/>
      <c r="P268" s="13"/>
      <c r="Q268" s="13"/>
      <c r="R268" s="13"/>
      <c r="S268" s="13"/>
      <c r="T268" s="13"/>
      <c r="U268" s="13"/>
      <c r="V268" s="13"/>
      <c r="W268" s="13"/>
      <c r="X268" s="13"/>
      <c r="Y268" s="13"/>
      <c r="Z268" s="13"/>
      <c r="AA268" s="13"/>
      <c r="AB268" s="13"/>
      <c r="AC268" s="13"/>
      <c r="AD268" s="13"/>
    </row>
    <row r="269" spans="1:30" ht="12.75" customHeight="1" x14ac:dyDescent="0.25">
      <c r="A269" s="21"/>
      <c r="B269" s="13"/>
      <c r="C269" s="13"/>
      <c r="D269" s="13"/>
      <c r="E269" s="13"/>
      <c r="F269" s="13"/>
      <c r="G269" s="22"/>
      <c r="H269" s="22"/>
      <c r="I269" s="23"/>
      <c r="J269" s="13"/>
      <c r="K269" s="13"/>
      <c r="L269" s="13"/>
      <c r="M269" s="13"/>
      <c r="N269" s="13"/>
      <c r="O269" s="13"/>
      <c r="P269" s="13"/>
      <c r="Q269" s="13"/>
      <c r="R269" s="13"/>
      <c r="S269" s="13"/>
      <c r="T269" s="13"/>
      <c r="U269" s="13"/>
      <c r="V269" s="13"/>
      <c r="W269" s="13"/>
      <c r="X269" s="13"/>
      <c r="Y269" s="13"/>
      <c r="Z269" s="13"/>
      <c r="AA269" s="13"/>
      <c r="AB269" s="13"/>
      <c r="AC269" s="13"/>
      <c r="AD269" s="13"/>
    </row>
    <row r="270" spans="1:30" ht="12.75" customHeight="1" x14ac:dyDescent="0.25">
      <c r="A270" s="21"/>
      <c r="B270" s="13"/>
      <c r="C270" s="13"/>
      <c r="D270" s="13"/>
      <c r="E270" s="13"/>
      <c r="F270" s="13"/>
      <c r="G270" s="22"/>
      <c r="H270" s="22"/>
      <c r="I270" s="23"/>
      <c r="J270" s="13"/>
      <c r="K270" s="13"/>
      <c r="L270" s="13"/>
      <c r="M270" s="13"/>
      <c r="N270" s="13"/>
      <c r="O270" s="13"/>
      <c r="P270" s="13"/>
      <c r="Q270" s="13"/>
      <c r="R270" s="13"/>
      <c r="S270" s="13"/>
      <c r="T270" s="13"/>
      <c r="U270" s="13"/>
      <c r="V270" s="13"/>
      <c r="W270" s="13"/>
      <c r="X270" s="13"/>
      <c r="Y270" s="13"/>
      <c r="Z270" s="13"/>
      <c r="AA270" s="13"/>
      <c r="AB270" s="13"/>
      <c r="AC270" s="13"/>
      <c r="AD270" s="13"/>
    </row>
    <row r="271" spans="1:30" ht="12.75" customHeight="1" x14ac:dyDescent="0.25">
      <c r="A271" s="21"/>
      <c r="B271" s="13"/>
      <c r="C271" s="13"/>
      <c r="D271" s="13"/>
      <c r="E271" s="13"/>
      <c r="F271" s="13"/>
      <c r="G271" s="22"/>
      <c r="H271" s="22"/>
      <c r="I271" s="23"/>
      <c r="J271" s="13"/>
      <c r="K271" s="13"/>
      <c r="L271" s="13"/>
      <c r="M271" s="13"/>
      <c r="N271" s="13"/>
      <c r="O271" s="13"/>
      <c r="P271" s="13"/>
      <c r="Q271" s="13"/>
      <c r="R271" s="13"/>
      <c r="S271" s="13"/>
      <c r="T271" s="13"/>
      <c r="U271" s="13"/>
      <c r="V271" s="13"/>
      <c r="W271" s="13"/>
      <c r="X271" s="13"/>
      <c r="Y271" s="13"/>
      <c r="Z271" s="13"/>
      <c r="AA271" s="13"/>
      <c r="AB271" s="13"/>
      <c r="AC271" s="13"/>
      <c r="AD271" s="13"/>
    </row>
    <row r="272" spans="1:30" ht="12.75" customHeight="1" x14ac:dyDescent="0.25">
      <c r="A272" s="21"/>
      <c r="B272" s="13"/>
      <c r="C272" s="13"/>
      <c r="D272" s="13"/>
      <c r="E272" s="13"/>
      <c r="F272" s="13"/>
      <c r="G272" s="22"/>
      <c r="H272" s="22"/>
      <c r="I272" s="23"/>
      <c r="J272" s="13"/>
      <c r="K272" s="13"/>
      <c r="L272" s="13"/>
      <c r="M272" s="13"/>
      <c r="N272" s="13"/>
      <c r="O272" s="13"/>
      <c r="P272" s="13"/>
      <c r="Q272" s="13"/>
      <c r="R272" s="13"/>
      <c r="S272" s="13"/>
      <c r="T272" s="13"/>
      <c r="U272" s="13"/>
      <c r="V272" s="13"/>
      <c r="W272" s="13"/>
      <c r="X272" s="13"/>
      <c r="Y272" s="13"/>
      <c r="Z272" s="13"/>
      <c r="AA272" s="13"/>
      <c r="AB272" s="13"/>
      <c r="AC272" s="13"/>
      <c r="AD272" s="13"/>
    </row>
    <row r="273" spans="1:30" ht="12.75" customHeight="1" x14ac:dyDescent="0.25">
      <c r="A273" s="21"/>
      <c r="B273" s="13"/>
      <c r="C273" s="13"/>
      <c r="D273" s="13"/>
      <c r="E273" s="13"/>
      <c r="F273" s="13"/>
      <c r="G273" s="22"/>
      <c r="H273" s="22"/>
      <c r="I273" s="23"/>
      <c r="J273" s="13"/>
      <c r="K273" s="13"/>
      <c r="L273" s="13"/>
      <c r="M273" s="13"/>
      <c r="N273" s="13"/>
      <c r="O273" s="13"/>
      <c r="P273" s="13"/>
      <c r="Q273" s="13"/>
      <c r="R273" s="13"/>
      <c r="S273" s="13"/>
      <c r="T273" s="13"/>
      <c r="U273" s="13"/>
      <c r="V273" s="13"/>
      <c r="W273" s="13"/>
      <c r="X273" s="13"/>
      <c r="Y273" s="13"/>
      <c r="Z273" s="13"/>
      <c r="AA273" s="13"/>
      <c r="AB273" s="13"/>
      <c r="AC273" s="13"/>
      <c r="AD273" s="13"/>
    </row>
    <row r="274" spans="1:30" ht="12.75" customHeight="1" x14ac:dyDescent="0.25">
      <c r="A274" s="21"/>
      <c r="B274" s="13"/>
      <c r="C274" s="13"/>
      <c r="D274" s="13"/>
      <c r="E274" s="13"/>
      <c r="F274" s="13"/>
      <c r="G274" s="22"/>
      <c r="H274" s="22"/>
      <c r="I274" s="23"/>
      <c r="J274" s="13"/>
      <c r="K274" s="13"/>
      <c r="L274" s="13"/>
      <c r="M274" s="13"/>
      <c r="N274" s="13"/>
      <c r="O274" s="13"/>
      <c r="P274" s="13"/>
      <c r="Q274" s="13"/>
      <c r="R274" s="13"/>
      <c r="S274" s="13"/>
      <c r="T274" s="13"/>
      <c r="U274" s="13"/>
      <c r="V274" s="13"/>
      <c r="W274" s="13"/>
      <c r="X274" s="13"/>
      <c r="Y274" s="13"/>
      <c r="Z274" s="13"/>
      <c r="AA274" s="13"/>
      <c r="AB274" s="13"/>
      <c r="AC274" s="13"/>
      <c r="AD274" s="13"/>
    </row>
    <row r="275" spans="1:30" ht="12.75" customHeight="1" x14ac:dyDescent="0.25">
      <c r="A275" s="21"/>
      <c r="B275" s="13"/>
      <c r="C275" s="13"/>
      <c r="D275" s="13"/>
      <c r="E275" s="13"/>
      <c r="F275" s="13"/>
      <c r="G275" s="22"/>
      <c r="H275" s="22"/>
      <c r="I275" s="23"/>
      <c r="J275" s="13"/>
      <c r="K275" s="13"/>
      <c r="L275" s="13"/>
      <c r="M275" s="13"/>
      <c r="N275" s="13"/>
      <c r="O275" s="13"/>
      <c r="P275" s="13"/>
      <c r="Q275" s="13"/>
      <c r="R275" s="13"/>
      <c r="S275" s="13"/>
      <c r="T275" s="13"/>
      <c r="U275" s="13"/>
      <c r="V275" s="13"/>
      <c r="W275" s="13"/>
      <c r="X275" s="13"/>
      <c r="Y275" s="13"/>
      <c r="Z275" s="13"/>
      <c r="AA275" s="13"/>
      <c r="AB275" s="13"/>
      <c r="AC275" s="13"/>
      <c r="AD275" s="13"/>
    </row>
    <row r="276" spans="1:30" ht="12.75" customHeight="1" x14ac:dyDescent="0.25">
      <c r="A276" s="21"/>
      <c r="B276" s="13"/>
      <c r="C276" s="13"/>
      <c r="D276" s="13"/>
      <c r="E276" s="13"/>
      <c r="F276" s="13"/>
      <c r="G276" s="22"/>
      <c r="H276" s="22"/>
      <c r="I276" s="23"/>
      <c r="J276" s="13"/>
      <c r="K276" s="13"/>
      <c r="L276" s="13"/>
      <c r="M276" s="13"/>
      <c r="N276" s="13"/>
      <c r="O276" s="13"/>
      <c r="P276" s="13"/>
      <c r="Q276" s="13"/>
      <c r="R276" s="13"/>
      <c r="S276" s="13"/>
      <c r="T276" s="13"/>
      <c r="U276" s="13"/>
      <c r="V276" s="13"/>
      <c r="W276" s="13"/>
      <c r="X276" s="13"/>
      <c r="Y276" s="13"/>
      <c r="Z276" s="13"/>
      <c r="AA276" s="13"/>
      <c r="AB276" s="13"/>
      <c r="AC276" s="13"/>
      <c r="AD276" s="13"/>
    </row>
    <row r="277" spans="1:30" ht="12.75" customHeight="1" x14ac:dyDescent="0.25">
      <c r="A277" s="21"/>
      <c r="B277" s="13"/>
      <c r="C277" s="13"/>
      <c r="D277" s="13"/>
      <c r="E277" s="13"/>
      <c r="F277" s="13"/>
      <c r="G277" s="22"/>
      <c r="H277" s="22"/>
      <c r="I277" s="23"/>
      <c r="J277" s="13"/>
      <c r="K277" s="13"/>
      <c r="L277" s="13"/>
      <c r="M277" s="13"/>
      <c r="N277" s="13"/>
      <c r="O277" s="13"/>
      <c r="P277" s="13"/>
      <c r="Q277" s="13"/>
      <c r="R277" s="13"/>
      <c r="S277" s="13"/>
      <c r="T277" s="13"/>
      <c r="U277" s="13"/>
      <c r="V277" s="13"/>
      <c r="W277" s="13"/>
      <c r="X277" s="13"/>
      <c r="Y277" s="13"/>
      <c r="Z277" s="13"/>
      <c r="AA277" s="13"/>
      <c r="AB277" s="13"/>
      <c r="AC277" s="13"/>
      <c r="AD277" s="13"/>
    </row>
    <row r="278" spans="1:30" ht="12.75" customHeight="1" x14ac:dyDescent="0.25">
      <c r="A278" s="21"/>
      <c r="B278" s="13"/>
      <c r="C278" s="13"/>
      <c r="D278" s="13"/>
      <c r="E278" s="13"/>
      <c r="F278" s="13"/>
      <c r="G278" s="22"/>
      <c r="H278" s="22"/>
      <c r="I278" s="23"/>
      <c r="J278" s="13"/>
      <c r="K278" s="13"/>
      <c r="L278" s="13"/>
      <c r="M278" s="13"/>
      <c r="N278" s="13"/>
      <c r="O278" s="13"/>
      <c r="P278" s="13"/>
      <c r="Q278" s="13"/>
      <c r="R278" s="13"/>
      <c r="S278" s="13"/>
      <c r="T278" s="13"/>
      <c r="U278" s="13"/>
      <c r="V278" s="13"/>
      <c r="W278" s="13"/>
      <c r="X278" s="13"/>
      <c r="Y278" s="13"/>
      <c r="Z278" s="13"/>
      <c r="AA278" s="13"/>
      <c r="AB278" s="13"/>
      <c r="AC278" s="13"/>
      <c r="AD278" s="13"/>
    </row>
    <row r="279" spans="1:30" ht="12.75" customHeight="1" x14ac:dyDescent="0.25">
      <c r="A279" s="21"/>
      <c r="B279" s="13"/>
      <c r="C279" s="13"/>
      <c r="D279" s="13"/>
      <c r="E279" s="13"/>
      <c r="F279" s="13"/>
      <c r="G279" s="22"/>
      <c r="H279" s="22"/>
      <c r="I279" s="23"/>
      <c r="J279" s="13"/>
      <c r="K279" s="13"/>
      <c r="L279" s="13"/>
      <c r="M279" s="13"/>
      <c r="N279" s="13"/>
      <c r="O279" s="13"/>
      <c r="P279" s="13"/>
      <c r="Q279" s="13"/>
      <c r="R279" s="13"/>
      <c r="S279" s="13"/>
      <c r="T279" s="13"/>
      <c r="U279" s="13"/>
      <c r="V279" s="13"/>
      <c r="W279" s="13"/>
      <c r="X279" s="13"/>
      <c r="Y279" s="13"/>
      <c r="Z279" s="13"/>
      <c r="AA279" s="13"/>
      <c r="AB279" s="13"/>
      <c r="AC279" s="13"/>
      <c r="AD279" s="13"/>
    </row>
    <row r="280" spans="1:30" ht="12.75" customHeight="1" x14ac:dyDescent="0.25">
      <c r="A280" s="21"/>
      <c r="B280" s="13"/>
      <c r="C280" s="13"/>
      <c r="D280" s="13"/>
      <c r="E280" s="13"/>
      <c r="F280" s="13"/>
      <c r="G280" s="22"/>
      <c r="H280" s="22"/>
      <c r="I280" s="23"/>
      <c r="J280" s="13"/>
      <c r="K280" s="13"/>
      <c r="L280" s="13"/>
      <c r="M280" s="13"/>
      <c r="N280" s="13"/>
      <c r="O280" s="13"/>
      <c r="P280" s="13"/>
      <c r="Q280" s="13"/>
      <c r="R280" s="13"/>
      <c r="S280" s="13"/>
      <c r="T280" s="13"/>
      <c r="U280" s="13"/>
      <c r="V280" s="13"/>
      <c r="W280" s="13"/>
      <c r="X280" s="13"/>
      <c r="Y280" s="13"/>
      <c r="Z280" s="13"/>
      <c r="AA280" s="13"/>
      <c r="AB280" s="13"/>
      <c r="AC280" s="13"/>
      <c r="AD280" s="13"/>
    </row>
    <row r="281" spans="1:30" ht="12.75" customHeight="1" x14ac:dyDescent="0.25">
      <c r="A281" s="21"/>
      <c r="B281" s="13"/>
      <c r="C281" s="13"/>
      <c r="D281" s="13"/>
      <c r="E281" s="13"/>
      <c r="F281" s="13"/>
      <c r="G281" s="22"/>
      <c r="H281" s="22"/>
      <c r="I281" s="23"/>
      <c r="J281" s="13"/>
      <c r="K281" s="13"/>
      <c r="L281" s="13"/>
      <c r="M281" s="13"/>
      <c r="N281" s="13"/>
      <c r="O281" s="13"/>
      <c r="P281" s="13"/>
      <c r="Q281" s="13"/>
      <c r="R281" s="13"/>
      <c r="S281" s="13"/>
      <c r="T281" s="13"/>
      <c r="U281" s="13"/>
      <c r="V281" s="13"/>
      <c r="W281" s="13"/>
      <c r="X281" s="13"/>
      <c r="Y281" s="13"/>
      <c r="Z281" s="13"/>
      <c r="AA281" s="13"/>
      <c r="AB281" s="13"/>
      <c r="AC281" s="13"/>
      <c r="AD281" s="13"/>
    </row>
    <row r="282" spans="1:30" ht="12.75" customHeight="1" x14ac:dyDescent="0.25">
      <c r="A282" s="21"/>
      <c r="B282" s="13"/>
      <c r="C282" s="13"/>
      <c r="D282" s="13"/>
      <c r="E282" s="13"/>
      <c r="F282" s="13"/>
      <c r="G282" s="22"/>
      <c r="H282" s="22"/>
      <c r="I282" s="23"/>
      <c r="J282" s="13"/>
      <c r="K282" s="13"/>
      <c r="L282" s="13"/>
      <c r="M282" s="13"/>
      <c r="N282" s="13"/>
      <c r="O282" s="13"/>
      <c r="P282" s="13"/>
      <c r="Q282" s="13"/>
      <c r="R282" s="13"/>
      <c r="S282" s="13"/>
      <c r="T282" s="13"/>
      <c r="U282" s="13"/>
      <c r="V282" s="13"/>
      <c r="W282" s="13"/>
      <c r="X282" s="13"/>
      <c r="Y282" s="13"/>
      <c r="Z282" s="13"/>
      <c r="AA282" s="13"/>
      <c r="AB282" s="13"/>
      <c r="AC282" s="13"/>
      <c r="AD282" s="13"/>
    </row>
    <row r="283" spans="1:30" ht="12.75" customHeight="1" x14ac:dyDescent="0.25">
      <c r="A283" s="21"/>
      <c r="B283" s="13"/>
      <c r="C283" s="13"/>
      <c r="D283" s="13"/>
      <c r="E283" s="13"/>
      <c r="F283" s="13"/>
      <c r="G283" s="22"/>
      <c r="H283" s="22"/>
      <c r="I283" s="23"/>
      <c r="J283" s="13"/>
      <c r="K283" s="13"/>
      <c r="L283" s="13"/>
      <c r="M283" s="13"/>
      <c r="N283" s="13"/>
      <c r="O283" s="13"/>
      <c r="P283" s="13"/>
      <c r="Q283" s="13"/>
      <c r="R283" s="13"/>
      <c r="S283" s="13"/>
      <c r="T283" s="13"/>
      <c r="U283" s="13"/>
      <c r="V283" s="13"/>
      <c r="W283" s="13"/>
      <c r="X283" s="13"/>
      <c r="Y283" s="13"/>
      <c r="Z283" s="13"/>
      <c r="AA283" s="13"/>
      <c r="AB283" s="13"/>
      <c r="AC283" s="13"/>
      <c r="AD283" s="13"/>
    </row>
    <row r="284" spans="1:30" ht="12.75" customHeight="1" x14ac:dyDescent="0.25">
      <c r="A284" s="21"/>
      <c r="B284" s="13"/>
      <c r="C284" s="13"/>
      <c r="D284" s="13"/>
      <c r="E284" s="13"/>
      <c r="F284" s="13"/>
      <c r="G284" s="22"/>
      <c r="H284" s="22"/>
      <c r="I284" s="23"/>
      <c r="J284" s="13"/>
      <c r="K284" s="13"/>
      <c r="L284" s="13"/>
      <c r="M284" s="13"/>
      <c r="N284" s="13"/>
      <c r="O284" s="13"/>
      <c r="P284" s="13"/>
      <c r="Q284" s="13"/>
      <c r="R284" s="13"/>
      <c r="S284" s="13"/>
      <c r="T284" s="13"/>
      <c r="U284" s="13"/>
      <c r="V284" s="13"/>
      <c r="W284" s="13"/>
      <c r="X284" s="13"/>
      <c r="Y284" s="13"/>
      <c r="Z284" s="13"/>
      <c r="AA284" s="13"/>
      <c r="AB284" s="13"/>
      <c r="AC284" s="13"/>
      <c r="AD284" s="13"/>
    </row>
    <row r="285" spans="1:30" ht="12.75" customHeight="1" x14ac:dyDescent="0.25">
      <c r="A285" s="21"/>
      <c r="B285" s="13"/>
      <c r="C285" s="13"/>
      <c r="D285" s="13"/>
      <c r="E285" s="13"/>
      <c r="F285" s="13"/>
      <c r="G285" s="22"/>
      <c r="H285" s="22"/>
      <c r="I285" s="23"/>
      <c r="J285" s="13"/>
      <c r="K285" s="13"/>
      <c r="L285" s="13"/>
      <c r="M285" s="13"/>
      <c r="N285" s="13"/>
      <c r="O285" s="13"/>
      <c r="P285" s="13"/>
      <c r="Q285" s="13"/>
      <c r="R285" s="13"/>
      <c r="S285" s="13"/>
      <c r="T285" s="13"/>
      <c r="U285" s="13"/>
      <c r="V285" s="13"/>
      <c r="W285" s="13"/>
      <c r="X285" s="13"/>
      <c r="Y285" s="13"/>
      <c r="Z285" s="13"/>
      <c r="AA285" s="13"/>
      <c r="AB285" s="13"/>
      <c r="AC285" s="13"/>
      <c r="AD285" s="13"/>
    </row>
    <row r="286" spans="1:30" ht="12.75" customHeight="1" x14ac:dyDescent="0.25">
      <c r="A286" s="21"/>
      <c r="B286" s="13"/>
      <c r="C286" s="13"/>
      <c r="D286" s="13"/>
      <c r="E286" s="13"/>
      <c r="F286" s="13"/>
      <c r="G286" s="22"/>
      <c r="H286" s="22"/>
      <c r="I286" s="23"/>
      <c r="J286" s="13"/>
      <c r="K286" s="13"/>
      <c r="L286" s="13"/>
      <c r="M286" s="13"/>
      <c r="N286" s="13"/>
      <c r="O286" s="13"/>
      <c r="P286" s="13"/>
      <c r="Q286" s="13"/>
      <c r="R286" s="13"/>
      <c r="S286" s="13"/>
      <c r="T286" s="13"/>
      <c r="U286" s="13"/>
      <c r="V286" s="13"/>
      <c r="W286" s="13"/>
      <c r="X286" s="13"/>
      <c r="Y286" s="13"/>
      <c r="Z286" s="13"/>
      <c r="AA286" s="13"/>
      <c r="AB286" s="13"/>
      <c r="AC286" s="13"/>
      <c r="AD286" s="13"/>
    </row>
    <row r="287" spans="1:30" ht="12.75" customHeight="1" x14ac:dyDescent="0.25">
      <c r="A287" s="21"/>
      <c r="B287" s="13"/>
      <c r="C287" s="13"/>
      <c r="D287" s="13"/>
      <c r="E287" s="13"/>
      <c r="F287" s="13"/>
      <c r="G287" s="22"/>
      <c r="H287" s="22"/>
      <c r="I287" s="23"/>
      <c r="J287" s="13"/>
      <c r="K287" s="13"/>
      <c r="L287" s="13"/>
      <c r="M287" s="13"/>
      <c r="N287" s="13"/>
      <c r="O287" s="13"/>
      <c r="P287" s="13"/>
      <c r="Q287" s="13"/>
      <c r="R287" s="13"/>
      <c r="S287" s="13"/>
      <c r="T287" s="13"/>
      <c r="U287" s="13"/>
      <c r="V287" s="13"/>
      <c r="W287" s="13"/>
      <c r="X287" s="13"/>
      <c r="Y287" s="13"/>
      <c r="Z287" s="13"/>
      <c r="AA287" s="13"/>
      <c r="AB287" s="13"/>
      <c r="AC287" s="13"/>
      <c r="AD287" s="13"/>
    </row>
    <row r="288" spans="1:30" ht="12.75" customHeight="1" x14ac:dyDescent="0.25">
      <c r="A288" s="21"/>
      <c r="B288" s="13"/>
      <c r="C288" s="13"/>
      <c r="D288" s="13"/>
      <c r="E288" s="13"/>
      <c r="F288" s="13"/>
      <c r="G288" s="22"/>
      <c r="H288" s="22"/>
      <c r="I288" s="23"/>
      <c r="J288" s="13"/>
      <c r="K288" s="13"/>
      <c r="L288" s="13"/>
      <c r="M288" s="13"/>
      <c r="N288" s="13"/>
      <c r="O288" s="13"/>
      <c r="P288" s="13"/>
      <c r="Q288" s="13"/>
      <c r="R288" s="13"/>
      <c r="S288" s="13"/>
      <c r="T288" s="13"/>
      <c r="U288" s="13"/>
      <c r="V288" s="13"/>
      <c r="W288" s="13"/>
      <c r="X288" s="13"/>
      <c r="Y288" s="13"/>
      <c r="Z288" s="13"/>
      <c r="AA288" s="13"/>
      <c r="AB288" s="13"/>
      <c r="AC288" s="13"/>
      <c r="AD288" s="13"/>
    </row>
    <row r="289" spans="1:30" ht="12.75" customHeight="1" x14ac:dyDescent="0.25">
      <c r="A289" s="21"/>
      <c r="B289" s="13"/>
      <c r="C289" s="13"/>
      <c r="D289" s="13"/>
      <c r="E289" s="13"/>
      <c r="F289" s="13"/>
      <c r="G289" s="22"/>
      <c r="H289" s="22"/>
      <c r="I289" s="23"/>
      <c r="J289" s="13"/>
      <c r="K289" s="13"/>
      <c r="L289" s="13"/>
      <c r="M289" s="13"/>
      <c r="N289" s="13"/>
      <c r="O289" s="13"/>
      <c r="P289" s="13"/>
      <c r="Q289" s="13"/>
      <c r="R289" s="13"/>
      <c r="S289" s="13"/>
      <c r="T289" s="13"/>
      <c r="U289" s="13"/>
      <c r="V289" s="13"/>
      <c r="W289" s="13"/>
      <c r="X289" s="13"/>
      <c r="Y289" s="13"/>
      <c r="Z289" s="13"/>
      <c r="AA289" s="13"/>
      <c r="AB289" s="13"/>
      <c r="AC289" s="13"/>
      <c r="AD289" s="13"/>
    </row>
    <row r="290" spans="1:30" ht="12.75" customHeight="1" x14ac:dyDescent="0.25">
      <c r="A290" s="21"/>
      <c r="B290" s="13"/>
      <c r="C290" s="13"/>
      <c r="D290" s="13"/>
      <c r="E290" s="13"/>
      <c r="F290" s="13"/>
      <c r="G290" s="22"/>
      <c r="H290" s="22"/>
      <c r="I290" s="23"/>
      <c r="J290" s="13"/>
      <c r="K290" s="13"/>
      <c r="L290" s="13"/>
      <c r="M290" s="13"/>
      <c r="N290" s="13"/>
      <c r="O290" s="13"/>
      <c r="P290" s="13"/>
      <c r="Q290" s="13"/>
      <c r="R290" s="13"/>
      <c r="S290" s="13"/>
      <c r="T290" s="13"/>
      <c r="U290" s="13"/>
      <c r="V290" s="13"/>
      <c r="W290" s="13"/>
      <c r="X290" s="13"/>
      <c r="Y290" s="13"/>
      <c r="Z290" s="13"/>
      <c r="AA290" s="13"/>
      <c r="AB290" s="13"/>
      <c r="AC290" s="13"/>
      <c r="AD290" s="13"/>
    </row>
    <row r="291" spans="1:30" ht="12.75" customHeight="1" x14ac:dyDescent="0.25">
      <c r="A291" s="21"/>
      <c r="B291" s="13"/>
      <c r="C291" s="13"/>
      <c r="D291" s="13"/>
      <c r="E291" s="13"/>
      <c r="F291" s="13"/>
      <c r="G291" s="22"/>
      <c r="H291" s="22"/>
      <c r="I291" s="23"/>
      <c r="J291" s="13"/>
      <c r="K291" s="13"/>
      <c r="L291" s="13"/>
      <c r="M291" s="13"/>
      <c r="N291" s="13"/>
      <c r="O291" s="13"/>
      <c r="P291" s="13"/>
      <c r="Q291" s="13"/>
      <c r="R291" s="13"/>
      <c r="S291" s="13"/>
      <c r="T291" s="13"/>
      <c r="U291" s="13"/>
      <c r="V291" s="13"/>
      <c r="W291" s="13"/>
      <c r="X291" s="13"/>
      <c r="Y291" s="13"/>
      <c r="Z291" s="13"/>
      <c r="AA291" s="13"/>
      <c r="AB291" s="13"/>
      <c r="AC291" s="13"/>
      <c r="AD291" s="13"/>
    </row>
    <row r="292" spans="1:30" ht="12.75" customHeight="1" x14ac:dyDescent="0.25">
      <c r="A292" s="21"/>
      <c r="B292" s="13"/>
      <c r="C292" s="13"/>
      <c r="D292" s="13"/>
      <c r="E292" s="13"/>
      <c r="F292" s="13"/>
      <c r="G292" s="22"/>
      <c r="H292" s="22"/>
      <c r="I292" s="23"/>
      <c r="J292" s="13"/>
      <c r="K292" s="13"/>
      <c r="L292" s="13"/>
      <c r="M292" s="13"/>
      <c r="N292" s="13"/>
      <c r="O292" s="13"/>
      <c r="P292" s="13"/>
      <c r="Q292" s="13"/>
      <c r="R292" s="13"/>
      <c r="S292" s="13"/>
      <c r="T292" s="13"/>
      <c r="U292" s="13"/>
      <c r="V292" s="13"/>
      <c r="W292" s="13"/>
      <c r="X292" s="13"/>
      <c r="Y292" s="13"/>
      <c r="Z292" s="13"/>
      <c r="AA292" s="13"/>
      <c r="AB292" s="13"/>
      <c r="AC292" s="13"/>
      <c r="AD292" s="13"/>
    </row>
    <row r="293" spans="1:30" ht="12.75" customHeight="1" x14ac:dyDescent="0.25">
      <c r="A293" s="21"/>
      <c r="B293" s="13"/>
      <c r="C293" s="13"/>
      <c r="D293" s="13"/>
      <c r="E293" s="13"/>
      <c r="F293" s="13"/>
      <c r="G293" s="22"/>
      <c r="H293" s="22"/>
      <c r="I293" s="23"/>
      <c r="J293" s="13"/>
      <c r="K293" s="13"/>
      <c r="L293" s="13"/>
      <c r="M293" s="13"/>
      <c r="N293" s="13"/>
      <c r="O293" s="13"/>
      <c r="P293" s="13"/>
      <c r="Q293" s="13"/>
      <c r="R293" s="13"/>
      <c r="S293" s="13"/>
      <c r="T293" s="13"/>
      <c r="U293" s="13"/>
      <c r="V293" s="13"/>
      <c r="W293" s="13"/>
      <c r="X293" s="13"/>
      <c r="Y293" s="13"/>
      <c r="Z293" s="13"/>
      <c r="AA293" s="13"/>
      <c r="AB293" s="13"/>
      <c r="AC293" s="13"/>
      <c r="AD293" s="13"/>
    </row>
    <row r="294" spans="1:30" ht="12.75" customHeight="1" x14ac:dyDescent="0.25">
      <c r="A294" s="21"/>
      <c r="B294" s="13"/>
      <c r="C294" s="13"/>
      <c r="D294" s="13"/>
      <c r="E294" s="13"/>
      <c r="F294" s="13"/>
      <c r="G294" s="22"/>
      <c r="H294" s="22"/>
      <c r="I294" s="23"/>
      <c r="J294" s="13"/>
      <c r="K294" s="13"/>
      <c r="L294" s="13"/>
      <c r="M294" s="13"/>
      <c r="N294" s="13"/>
      <c r="O294" s="13"/>
      <c r="P294" s="13"/>
      <c r="Q294" s="13"/>
      <c r="R294" s="13"/>
      <c r="S294" s="13"/>
      <c r="T294" s="13"/>
      <c r="U294" s="13"/>
      <c r="V294" s="13"/>
      <c r="W294" s="13"/>
      <c r="X294" s="13"/>
      <c r="Y294" s="13"/>
      <c r="Z294" s="13"/>
      <c r="AA294" s="13"/>
      <c r="AB294" s="13"/>
      <c r="AC294" s="13"/>
      <c r="AD294" s="13"/>
    </row>
    <row r="295" spans="1:30" ht="12.75" customHeight="1" x14ac:dyDescent="0.25">
      <c r="A295" s="21"/>
      <c r="B295" s="13"/>
      <c r="C295" s="13"/>
      <c r="D295" s="13"/>
      <c r="E295" s="13"/>
      <c r="F295" s="13"/>
      <c r="G295" s="22"/>
      <c r="H295" s="22"/>
      <c r="I295" s="23"/>
      <c r="J295" s="13"/>
      <c r="K295" s="13"/>
      <c r="L295" s="13"/>
      <c r="M295" s="13"/>
      <c r="N295" s="13"/>
      <c r="O295" s="13"/>
      <c r="P295" s="13"/>
      <c r="Q295" s="13"/>
      <c r="R295" s="13"/>
      <c r="S295" s="13"/>
      <c r="T295" s="13"/>
      <c r="U295" s="13"/>
      <c r="V295" s="13"/>
      <c r="W295" s="13"/>
      <c r="X295" s="13"/>
      <c r="Y295" s="13"/>
      <c r="Z295" s="13"/>
      <c r="AA295" s="13"/>
      <c r="AB295" s="13"/>
      <c r="AC295" s="13"/>
      <c r="AD295" s="13"/>
    </row>
    <row r="296" spans="1:30" ht="12.75" customHeight="1" x14ac:dyDescent="0.25">
      <c r="A296" s="21"/>
      <c r="B296" s="13"/>
      <c r="C296" s="13"/>
      <c r="D296" s="13"/>
      <c r="E296" s="13"/>
      <c r="F296" s="13"/>
      <c r="G296" s="22"/>
      <c r="H296" s="22"/>
      <c r="I296" s="23"/>
      <c r="J296" s="13"/>
      <c r="K296" s="13"/>
      <c r="L296" s="13"/>
      <c r="M296" s="13"/>
      <c r="N296" s="13"/>
      <c r="O296" s="13"/>
      <c r="P296" s="13"/>
      <c r="Q296" s="13"/>
      <c r="R296" s="13"/>
      <c r="S296" s="13"/>
      <c r="T296" s="13"/>
      <c r="U296" s="13"/>
      <c r="V296" s="13"/>
      <c r="W296" s="13"/>
      <c r="X296" s="13"/>
      <c r="Y296" s="13"/>
      <c r="Z296" s="13"/>
      <c r="AA296" s="13"/>
      <c r="AB296" s="13"/>
      <c r="AC296" s="13"/>
      <c r="AD296" s="13"/>
    </row>
    <row r="297" spans="1:30" ht="12.75" customHeight="1" x14ac:dyDescent="0.25">
      <c r="A297" s="21"/>
      <c r="B297" s="13"/>
      <c r="C297" s="13"/>
      <c r="D297" s="13"/>
      <c r="E297" s="13"/>
      <c r="F297" s="13"/>
      <c r="G297" s="22"/>
      <c r="H297" s="22"/>
      <c r="I297" s="23"/>
      <c r="J297" s="13"/>
      <c r="K297" s="13"/>
      <c r="L297" s="13"/>
      <c r="M297" s="13"/>
      <c r="N297" s="13"/>
      <c r="O297" s="13"/>
      <c r="P297" s="13"/>
      <c r="Q297" s="13"/>
      <c r="R297" s="13"/>
      <c r="S297" s="13"/>
      <c r="T297" s="13"/>
      <c r="U297" s="13"/>
      <c r="V297" s="13"/>
      <c r="W297" s="13"/>
      <c r="X297" s="13"/>
      <c r="Y297" s="13"/>
      <c r="Z297" s="13"/>
      <c r="AA297" s="13"/>
      <c r="AB297" s="13"/>
      <c r="AC297" s="13"/>
      <c r="AD297" s="13"/>
    </row>
    <row r="298" spans="1:30" ht="12.75" customHeight="1" x14ac:dyDescent="0.25">
      <c r="A298" s="21"/>
      <c r="B298" s="13"/>
      <c r="C298" s="13"/>
      <c r="D298" s="13"/>
      <c r="E298" s="13"/>
      <c r="F298" s="13"/>
      <c r="G298" s="22"/>
      <c r="H298" s="22"/>
      <c r="I298" s="23"/>
      <c r="J298" s="13"/>
      <c r="K298" s="13"/>
      <c r="L298" s="13"/>
      <c r="M298" s="13"/>
      <c r="N298" s="13"/>
      <c r="O298" s="13"/>
      <c r="P298" s="13"/>
      <c r="Q298" s="13"/>
      <c r="R298" s="13"/>
      <c r="S298" s="13"/>
      <c r="T298" s="13"/>
      <c r="U298" s="13"/>
      <c r="V298" s="13"/>
      <c r="W298" s="13"/>
      <c r="X298" s="13"/>
      <c r="Y298" s="13"/>
      <c r="Z298" s="13"/>
      <c r="AA298" s="13"/>
      <c r="AB298" s="13"/>
      <c r="AC298" s="13"/>
      <c r="AD298" s="13"/>
    </row>
    <row r="299" spans="1:30" ht="12.75" customHeight="1" x14ac:dyDescent="0.25">
      <c r="A299" s="21"/>
      <c r="B299" s="13"/>
      <c r="C299" s="13"/>
      <c r="D299" s="13"/>
      <c r="E299" s="13"/>
      <c r="F299" s="13"/>
      <c r="G299" s="22"/>
      <c r="H299" s="22"/>
      <c r="I299" s="23"/>
      <c r="J299" s="13"/>
      <c r="K299" s="13"/>
      <c r="L299" s="13"/>
      <c r="M299" s="13"/>
      <c r="N299" s="13"/>
      <c r="O299" s="13"/>
      <c r="P299" s="13"/>
      <c r="Q299" s="13"/>
      <c r="R299" s="13"/>
      <c r="S299" s="13"/>
      <c r="T299" s="13"/>
      <c r="U299" s="13"/>
      <c r="V299" s="13"/>
      <c r="W299" s="13"/>
      <c r="X299" s="13"/>
      <c r="Y299" s="13"/>
      <c r="Z299" s="13"/>
      <c r="AA299" s="13"/>
      <c r="AB299" s="13"/>
      <c r="AC299" s="13"/>
      <c r="AD299" s="13"/>
    </row>
    <row r="300" spans="1:30" ht="12.75" customHeight="1" x14ac:dyDescent="0.25">
      <c r="A300" s="21"/>
      <c r="B300" s="13"/>
      <c r="C300" s="13"/>
      <c r="D300" s="13"/>
      <c r="E300" s="13"/>
      <c r="F300" s="13"/>
      <c r="G300" s="22"/>
      <c r="H300" s="22"/>
      <c r="I300" s="23"/>
      <c r="J300" s="13"/>
      <c r="K300" s="13"/>
      <c r="L300" s="13"/>
      <c r="M300" s="13"/>
      <c r="N300" s="13"/>
      <c r="O300" s="13"/>
      <c r="P300" s="13"/>
      <c r="Q300" s="13"/>
      <c r="R300" s="13"/>
      <c r="S300" s="13"/>
      <c r="T300" s="13"/>
      <c r="U300" s="13"/>
      <c r="V300" s="13"/>
      <c r="W300" s="13"/>
      <c r="X300" s="13"/>
      <c r="Y300" s="13"/>
      <c r="Z300" s="13"/>
      <c r="AA300" s="13"/>
      <c r="AB300" s="13"/>
      <c r="AC300" s="13"/>
      <c r="AD300" s="13"/>
    </row>
    <row r="301" spans="1:30" ht="12.75" customHeight="1" x14ac:dyDescent="0.25">
      <c r="A301" s="21"/>
      <c r="B301" s="13"/>
      <c r="C301" s="13"/>
      <c r="D301" s="13"/>
      <c r="E301" s="13"/>
      <c r="F301" s="13"/>
      <c r="G301" s="22"/>
      <c r="H301" s="22"/>
      <c r="I301" s="23"/>
      <c r="J301" s="13"/>
      <c r="K301" s="13"/>
      <c r="L301" s="13"/>
      <c r="M301" s="13"/>
      <c r="N301" s="13"/>
      <c r="O301" s="13"/>
      <c r="P301" s="13"/>
      <c r="Q301" s="13"/>
      <c r="R301" s="13"/>
      <c r="S301" s="13"/>
      <c r="T301" s="13"/>
      <c r="U301" s="13"/>
      <c r="V301" s="13"/>
      <c r="W301" s="13"/>
      <c r="X301" s="13"/>
      <c r="Y301" s="13"/>
      <c r="Z301" s="13"/>
      <c r="AA301" s="13"/>
      <c r="AB301" s="13"/>
      <c r="AC301" s="13"/>
      <c r="AD301" s="13"/>
    </row>
    <row r="302" spans="1:30" ht="12.75" customHeight="1" x14ac:dyDescent="0.25">
      <c r="A302" s="21"/>
      <c r="B302" s="13"/>
      <c r="C302" s="13"/>
      <c r="D302" s="13"/>
      <c r="E302" s="13"/>
      <c r="F302" s="13"/>
      <c r="G302" s="22"/>
      <c r="H302" s="22"/>
      <c r="I302" s="23"/>
      <c r="J302" s="13"/>
      <c r="K302" s="13"/>
      <c r="L302" s="13"/>
      <c r="M302" s="13"/>
      <c r="N302" s="13"/>
      <c r="O302" s="13"/>
      <c r="P302" s="13"/>
      <c r="Q302" s="13"/>
      <c r="R302" s="13"/>
      <c r="S302" s="13"/>
      <c r="T302" s="13"/>
      <c r="U302" s="13"/>
      <c r="V302" s="13"/>
      <c r="W302" s="13"/>
      <c r="X302" s="13"/>
      <c r="Y302" s="13"/>
      <c r="Z302" s="13"/>
      <c r="AA302" s="13"/>
      <c r="AB302" s="13"/>
      <c r="AC302" s="13"/>
      <c r="AD302" s="13"/>
    </row>
    <row r="303" spans="1:30" ht="12.75" customHeight="1" x14ac:dyDescent="0.25">
      <c r="A303" s="21"/>
      <c r="B303" s="13"/>
      <c r="C303" s="13"/>
      <c r="D303" s="13"/>
      <c r="E303" s="13"/>
      <c r="F303" s="13"/>
      <c r="G303" s="22"/>
      <c r="H303" s="22"/>
      <c r="I303" s="23"/>
      <c r="J303" s="13"/>
      <c r="K303" s="13"/>
      <c r="L303" s="13"/>
      <c r="M303" s="13"/>
      <c r="N303" s="13"/>
      <c r="O303" s="13"/>
      <c r="P303" s="13"/>
      <c r="Q303" s="13"/>
      <c r="R303" s="13"/>
      <c r="S303" s="13"/>
      <c r="T303" s="13"/>
      <c r="U303" s="13"/>
      <c r="V303" s="13"/>
      <c r="W303" s="13"/>
      <c r="X303" s="13"/>
      <c r="Y303" s="13"/>
      <c r="Z303" s="13"/>
      <c r="AA303" s="13"/>
      <c r="AB303" s="13"/>
      <c r="AC303" s="13"/>
      <c r="AD303" s="13"/>
    </row>
    <row r="304" spans="1:30" ht="12.75" customHeight="1" x14ac:dyDescent="0.25">
      <c r="A304" s="21"/>
      <c r="B304" s="13"/>
      <c r="C304" s="13"/>
      <c r="D304" s="13"/>
      <c r="E304" s="13"/>
      <c r="F304" s="13"/>
      <c r="G304" s="22"/>
      <c r="H304" s="22"/>
      <c r="I304" s="23"/>
      <c r="J304" s="13"/>
      <c r="K304" s="13"/>
      <c r="L304" s="13"/>
      <c r="M304" s="13"/>
      <c r="N304" s="13"/>
      <c r="O304" s="13"/>
      <c r="P304" s="13"/>
      <c r="Q304" s="13"/>
      <c r="R304" s="13"/>
      <c r="S304" s="13"/>
      <c r="T304" s="13"/>
      <c r="U304" s="13"/>
      <c r="V304" s="13"/>
      <c r="W304" s="13"/>
      <c r="X304" s="13"/>
      <c r="Y304" s="13"/>
      <c r="Z304" s="13"/>
      <c r="AA304" s="13"/>
      <c r="AB304" s="13"/>
      <c r="AC304" s="13"/>
      <c r="AD304" s="13"/>
    </row>
    <row r="305" spans="1:30" ht="12.75" customHeight="1" x14ac:dyDescent="0.25">
      <c r="A305" s="21"/>
      <c r="B305" s="13"/>
      <c r="C305" s="13"/>
      <c r="D305" s="13"/>
      <c r="E305" s="13"/>
      <c r="F305" s="13"/>
      <c r="G305" s="22"/>
      <c r="H305" s="22"/>
      <c r="I305" s="23"/>
      <c r="J305" s="13"/>
      <c r="K305" s="13"/>
      <c r="L305" s="13"/>
      <c r="M305" s="13"/>
      <c r="N305" s="13"/>
      <c r="O305" s="13"/>
      <c r="P305" s="13"/>
      <c r="Q305" s="13"/>
      <c r="R305" s="13"/>
      <c r="S305" s="13"/>
      <c r="T305" s="13"/>
      <c r="U305" s="13"/>
      <c r="V305" s="13"/>
      <c r="W305" s="13"/>
      <c r="X305" s="13"/>
      <c r="Y305" s="13"/>
      <c r="Z305" s="13"/>
      <c r="AA305" s="13"/>
      <c r="AB305" s="13"/>
      <c r="AC305" s="13"/>
      <c r="AD305" s="13"/>
    </row>
    <row r="306" spans="1:30" ht="12.75" customHeight="1" x14ac:dyDescent="0.25">
      <c r="A306" s="21"/>
      <c r="B306" s="13"/>
      <c r="C306" s="13"/>
      <c r="D306" s="13"/>
      <c r="E306" s="13"/>
      <c r="F306" s="13"/>
      <c r="G306" s="22"/>
      <c r="H306" s="22"/>
      <c r="I306" s="23"/>
      <c r="J306" s="13"/>
      <c r="K306" s="13"/>
      <c r="L306" s="13"/>
      <c r="M306" s="13"/>
      <c r="N306" s="13"/>
      <c r="O306" s="13"/>
      <c r="P306" s="13"/>
      <c r="Q306" s="13"/>
      <c r="R306" s="13"/>
      <c r="S306" s="13"/>
      <c r="T306" s="13"/>
      <c r="U306" s="13"/>
      <c r="V306" s="13"/>
      <c r="W306" s="13"/>
      <c r="X306" s="13"/>
      <c r="Y306" s="13"/>
      <c r="Z306" s="13"/>
      <c r="AA306" s="13"/>
      <c r="AB306" s="13"/>
      <c r="AC306" s="13"/>
      <c r="AD306" s="13"/>
    </row>
    <row r="307" spans="1:30" ht="12.75" customHeight="1" x14ac:dyDescent="0.25">
      <c r="A307" s="21"/>
      <c r="B307" s="13"/>
      <c r="C307" s="13"/>
      <c r="D307" s="13"/>
      <c r="E307" s="13"/>
      <c r="F307" s="13"/>
      <c r="G307" s="22"/>
      <c r="H307" s="22"/>
      <c r="I307" s="23"/>
      <c r="J307" s="13"/>
      <c r="K307" s="13"/>
      <c r="L307" s="13"/>
      <c r="M307" s="13"/>
      <c r="N307" s="13"/>
      <c r="O307" s="13"/>
      <c r="P307" s="13"/>
      <c r="Q307" s="13"/>
      <c r="R307" s="13"/>
      <c r="S307" s="13"/>
      <c r="T307" s="13"/>
      <c r="U307" s="13"/>
      <c r="V307" s="13"/>
      <c r="W307" s="13"/>
      <c r="X307" s="13"/>
      <c r="Y307" s="13"/>
      <c r="Z307" s="13"/>
      <c r="AA307" s="13"/>
      <c r="AB307" s="13"/>
      <c r="AC307" s="13"/>
      <c r="AD307" s="13"/>
    </row>
    <row r="308" spans="1:30" ht="12.75" customHeight="1" x14ac:dyDescent="0.25">
      <c r="A308" s="21"/>
      <c r="B308" s="13"/>
      <c r="C308" s="13"/>
      <c r="D308" s="13"/>
      <c r="E308" s="13"/>
      <c r="F308" s="13"/>
      <c r="G308" s="22"/>
      <c r="H308" s="22"/>
      <c r="I308" s="23"/>
      <c r="J308" s="13"/>
      <c r="K308" s="13"/>
      <c r="L308" s="13"/>
      <c r="M308" s="13"/>
      <c r="N308" s="13"/>
      <c r="O308" s="13"/>
      <c r="P308" s="13"/>
      <c r="Q308" s="13"/>
      <c r="R308" s="13"/>
      <c r="S308" s="13"/>
      <c r="T308" s="13"/>
      <c r="U308" s="13"/>
      <c r="V308" s="13"/>
      <c r="W308" s="13"/>
      <c r="X308" s="13"/>
      <c r="Y308" s="13"/>
      <c r="Z308" s="13"/>
      <c r="AA308" s="13"/>
      <c r="AB308" s="13"/>
      <c r="AC308" s="13"/>
      <c r="AD308" s="13"/>
    </row>
    <row r="309" spans="1:30" ht="12.75" customHeight="1" x14ac:dyDescent="0.25">
      <c r="A309" s="21"/>
      <c r="B309" s="13"/>
      <c r="C309" s="13"/>
      <c r="D309" s="13"/>
      <c r="E309" s="13"/>
      <c r="F309" s="13"/>
      <c r="G309" s="22"/>
      <c r="H309" s="22"/>
      <c r="I309" s="23"/>
      <c r="J309" s="13"/>
      <c r="K309" s="13"/>
      <c r="L309" s="13"/>
      <c r="M309" s="13"/>
      <c r="N309" s="13"/>
      <c r="O309" s="13"/>
      <c r="P309" s="13"/>
      <c r="Q309" s="13"/>
      <c r="R309" s="13"/>
      <c r="S309" s="13"/>
      <c r="T309" s="13"/>
      <c r="U309" s="13"/>
      <c r="V309" s="13"/>
      <c r="W309" s="13"/>
      <c r="X309" s="13"/>
      <c r="Y309" s="13"/>
      <c r="Z309" s="13"/>
      <c r="AA309" s="13"/>
      <c r="AB309" s="13"/>
      <c r="AC309" s="13"/>
      <c r="AD309" s="13"/>
    </row>
    <row r="310" spans="1:30" ht="12.75" customHeight="1" x14ac:dyDescent="0.25">
      <c r="A310" s="21"/>
      <c r="B310" s="13"/>
      <c r="C310" s="13"/>
      <c r="D310" s="13"/>
      <c r="E310" s="13"/>
      <c r="F310" s="13"/>
      <c r="G310" s="22"/>
      <c r="H310" s="22"/>
      <c r="I310" s="23"/>
      <c r="J310" s="13"/>
      <c r="K310" s="13"/>
      <c r="L310" s="13"/>
      <c r="M310" s="13"/>
      <c r="N310" s="13"/>
      <c r="O310" s="13"/>
      <c r="P310" s="13"/>
      <c r="Q310" s="13"/>
      <c r="R310" s="13"/>
      <c r="S310" s="13"/>
      <c r="T310" s="13"/>
      <c r="U310" s="13"/>
      <c r="V310" s="13"/>
      <c r="W310" s="13"/>
      <c r="X310" s="13"/>
      <c r="Y310" s="13"/>
      <c r="Z310" s="13"/>
      <c r="AA310" s="13"/>
      <c r="AB310" s="13"/>
      <c r="AC310" s="13"/>
      <c r="AD310" s="13"/>
    </row>
    <row r="311" spans="1:30" ht="12.75" customHeight="1" x14ac:dyDescent="0.25">
      <c r="A311" s="21"/>
      <c r="B311" s="13"/>
      <c r="C311" s="13"/>
      <c r="D311" s="13"/>
      <c r="E311" s="13"/>
      <c r="F311" s="13"/>
      <c r="G311" s="22"/>
      <c r="H311" s="22"/>
      <c r="I311" s="23"/>
      <c r="J311" s="13"/>
      <c r="K311" s="13"/>
      <c r="L311" s="13"/>
      <c r="M311" s="13"/>
      <c r="N311" s="13"/>
      <c r="O311" s="13"/>
      <c r="P311" s="13"/>
      <c r="Q311" s="13"/>
      <c r="R311" s="13"/>
      <c r="S311" s="13"/>
      <c r="T311" s="13"/>
      <c r="U311" s="13"/>
      <c r="V311" s="13"/>
      <c r="W311" s="13"/>
      <c r="X311" s="13"/>
      <c r="Y311" s="13"/>
      <c r="Z311" s="13"/>
      <c r="AA311" s="13"/>
      <c r="AB311" s="13"/>
      <c r="AC311" s="13"/>
      <c r="AD311" s="13"/>
    </row>
    <row r="312" spans="1:30" ht="12.75" customHeight="1" x14ac:dyDescent="0.25">
      <c r="A312" s="21"/>
      <c r="B312" s="13"/>
      <c r="C312" s="13"/>
      <c r="D312" s="13"/>
      <c r="E312" s="13"/>
      <c r="F312" s="13"/>
      <c r="G312" s="22"/>
      <c r="H312" s="22"/>
      <c r="I312" s="23"/>
      <c r="J312" s="13"/>
      <c r="K312" s="13"/>
      <c r="L312" s="13"/>
      <c r="M312" s="13"/>
      <c r="N312" s="13"/>
      <c r="O312" s="13"/>
      <c r="P312" s="13"/>
      <c r="Q312" s="13"/>
      <c r="R312" s="13"/>
      <c r="S312" s="13"/>
      <c r="T312" s="13"/>
      <c r="U312" s="13"/>
      <c r="V312" s="13"/>
      <c r="W312" s="13"/>
      <c r="X312" s="13"/>
      <c r="Y312" s="13"/>
      <c r="Z312" s="13"/>
      <c r="AA312" s="13"/>
      <c r="AB312" s="13"/>
      <c r="AC312" s="13"/>
      <c r="AD312" s="13"/>
    </row>
    <row r="313" spans="1:30" ht="12.75" customHeight="1" x14ac:dyDescent="0.25">
      <c r="A313" s="21"/>
      <c r="B313" s="13"/>
      <c r="C313" s="13"/>
      <c r="D313" s="13"/>
      <c r="E313" s="13"/>
      <c r="F313" s="13"/>
      <c r="G313" s="22"/>
      <c r="H313" s="22"/>
      <c r="I313" s="23"/>
      <c r="J313" s="13"/>
      <c r="K313" s="13"/>
      <c r="L313" s="13"/>
      <c r="M313" s="13"/>
      <c r="N313" s="13"/>
      <c r="O313" s="13"/>
      <c r="P313" s="13"/>
      <c r="Q313" s="13"/>
      <c r="R313" s="13"/>
      <c r="S313" s="13"/>
      <c r="T313" s="13"/>
      <c r="U313" s="13"/>
      <c r="V313" s="13"/>
      <c r="W313" s="13"/>
      <c r="X313" s="13"/>
      <c r="Y313" s="13"/>
      <c r="Z313" s="13"/>
      <c r="AA313" s="13"/>
      <c r="AB313" s="13"/>
      <c r="AC313" s="13"/>
      <c r="AD313" s="13"/>
    </row>
    <row r="314" spans="1:30" ht="12.75" customHeight="1" x14ac:dyDescent="0.25">
      <c r="A314" s="21"/>
      <c r="B314" s="13"/>
      <c r="C314" s="13"/>
      <c r="D314" s="13"/>
      <c r="E314" s="13"/>
      <c r="F314" s="13"/>
      <c r="G314" s="22"/>
      <c r="H314" s="22"/>
      <c r="I314" s="23"/>
      <c r="J314" s="13"/>
      <c r="K314" s="13"/>
      <c r="L314" s="13"/>
      <c r="M314" s="13"/>
      <c r="N314" s="13"/>
      <c r="O314" s="13"/>
      <c r="P314" s="13"/>
      <c r="Q314" s="13"/>
      <c r="R314" s="13"/>
      <c r="S314" s="13"/>
      <c r="T314" s="13"/>
      <c r="U314" s="13"/>
      <c r="V314" s="13"/>
      <c r="W314" s="13"/>
      <c r="X314" s="13"/>
      <c r="Y314" s="13"/>
      <c r="Z314" s="13"/>
      <c r="AA314" s="13"/>
      <c r="AB314" s="13"/>
      <c r="AC314" s="13"/>
      <c r="AD314" s="13"/>
    </row>
    <row r="315" spans="1:30" ht="12.75" customHeight="1" x14ac:dyDescent="0.25">
      <c r="A315" s="21"/>
      <c r="B315" s="13"/>
      <c r="C315" s="13"/>
      <c r="D315" s="13"/>
      <c r="E315" s="13"/>
      <c r="F315" s="13"/>
      <c r="G315" s="22"/>
      <c r="H315" s="22"/>
      <c r="I315" s="23"/>
      <c r="J315" s="13"/>
      <c r="K315" s="13"/>
      <c r="L315" s="13"/>
      <c r="M315" s="13"/>
      <c r="N315" s="13"/>
      <c r="O315" s="13"/>
      <c r="P315" s="13"/>
      <c r="Q315" s="13"/>
      <c r="R315" s="13"/>
      <c r="S315" s="13"/>
      <c r="T315" s="13"/>
      <c r="U315" s="13"/>
      <c r="V315" s="13"/>
      <c r="W315" s="13"/>
      <c r="X315" s="13"/>
      <c r="Y315" s="13"/>
      <c r="Z315" s="13"/>
      <c r="AA315" s="13"/>
      <c r="AB315" s="13"/>
      <c r="AC315" s="13"/>
      <c r="AD315" s="13"/>
    </row>
    <row r="316" spans="1:30" ht="12.75" customHeight="1" x14ac:dyDescent="0.25">
      <c r="A316" s="21"/>
      <c r="B316" s="13"/>
      <c r="C316" s="13"/>
      <c r="D316" s="13"/>
      <c r="E316" s="13"/>
      <c r="F316" s="13"/>
      <c r="G316" s="22"/>
      <c r="H316" s="22"/>
      <c r="I316" s="23"/>
      <c r="J316" s="13"/>
      <c r="K316" s="13"/>
      <c r="L316" s="13"/>
      <c r="M316" s="13"/>
      <c r="N316" s="13"/>
      <c r="O316" s="13"/>
      <c r="P316" s="13"/>
      <c r="Q316" s="13"/>
      <c r="R316" s="13"/>
      <c r="S316" s="13"/>
      <c r="T316" s="13"/>
      <c r="U316" s="13"/>
      <c r="V316" s="13"/>
      <c r="W316" s="13"/>
      <c r="X316" s="13"/>
      <c r="Y316" s="13"/>
      <c r="Z316" s="13"/>
      <c r="AA316" s="13"/>
      <c r="AB316" s="13"/>
      <c r="AC316" s="13"/>
      <c r="AD316" s="13"/>
    </row>
    <row r="317" spans="1:30" ht="12.75" customHeight="1" x14ac:dyDescent="0.25">
      <c r="A317" s="21"/>
      <c r="B317" s="13"/>
      <c r="C317" s="13"/>
      <c r="D317" s="13"/>
      <c r="E317" s="13"/>
      <c r="F317" s="13"/>
      <c r="G317" s="22"/>
      <c r="H317" s="22"/>
      <c r="I317" s="23"/>
      <c r="J317" s="13"/>
      <c r="K317" s="13"/>
      <c r="L317" s="13"/>
      <c r="M317" s="13"/>
      <c r="N317" s="13"/>
      <c r="O317" s="13"/>
      <c r="P317" s="13"/>
      <c r="Q317" s="13"/>
      <c r="R317" s="13"/>
      <c r="S317" s="13"/>
      <c r="T317" s="13"/>
      <c r="U317" s="13"/>
      <c r="V317" s="13"/>
      <c r="W317" s="13"/>
      <c r="X317" s="13"/>
      <c r="Y317" s="13"/>
      <c r="Z317" s="13"/>
      <c r="AA317" s="13"/>
      <c r="AB317" s="13"/>
      <c r="AC317" s="13"/>
      <c r="AD317" s="13"/>
    </row>
    <row r="318" spans="1:30" ht="12.75" customHeight="1" x14ac:dyDescent="0.25">
      <c r="A318" s="21"/>
      <c r="B318" s="13"/>
      <c r="C318" s="13"/>
      <c r="D318" s="13"/>
      <c r="E318" s="13"/>
      <c r="F318" s="13"/>
      <c r="G318" s="22"/>
      <c r="H318" s="22"/>
      <c r="I318" s="23"/>
      <c r="J318" s="13"/>
      <c r="K318" s="13"/>
      <c r="L318" s="13"/>
      <c r="M318" s="13"/>
      <c r="N318" s="13"/>
      <c r="O318" s="13"/>
      <c r="P318" s="13"/>
      <c r="Q318" s="13"/>
      <c r="R318" s="13"/>
      <c r="S318" s="13"/>
      <c r="T318" s="13"/>
      <c r="U318" s="13"/>
      <c r="V318" s="13"/>
      <c r="W318" s="13"/>
      <c r="X318" s="13"/>
      <c r="Y318" s="13"/>
      <c r="Z318" s="13"/>
      <c r="AA318" s="13"/>
      <c r="AB318" s="13"/>
      <c r="AC318" s="13"/>
      <c r="AD318" s="13"/>
    </row>
    <row r="319" spans="1:30" ht="12.75" customHeight="1" x14ac:dyDescent="0.25">
      <c r="A319" s="21"/>
      <c r="B319" s="13"/>
      <c r="C319" s="13"/>
      <c r="D319" s="13"/>
      <c r="E319" s="13"/>
      <c r="F319" s="13"/>
      <c r="G319" s="22"/>
      <c r="H319" s="22"/>
      <c r="I319" s="23"/>
      <c r="J319" s="13"/>
      <c r="K319" s="13"/>
      <c r="L319" s="13"/>
      <c r="M319" s="13"/>
      <c r="N319" s="13"/>
      <c r="O319" s="13"/>
      <c r="P319" s="13"/>
      <c r="Q319" s="13"/>
      <c r="R319" s="13"/>
      <c r="S319" s="13"/>
      <c r="T319" s="13"/>
      <c r="U319" s="13"/>
      <c r="V319" s="13"/>
      <c r="W319" s="13"/>
      <c r="X319" s="13"/>
      <c r="Y319" s="13"/>
      <c r="Z319" s="13"/>
      <c r="AA319" s="13"/>
      <c r="AB319" s="13"/>
      <c r="AC319" s="13"/>
      <c r="AD319" s="13"/>
    </row>
    <row r="320" spans="1:30" ht="12.75" customHeight="1" x14ac:dyDescent="0.25">
      <c r="A320" s="21"/>
      <c r="B320" s="13"/>
      <c r="C320" s="13"/>
      <c r="D320" s="13"/>
      <c r="E320" s="13"/>
      <c r="F320" s="13"/>
      <c r="G320" s="22"/>
      <c r="H320" s="22"/>
      <c r="I320" s="23"/>
      <c r="J320" s="13"/>
      <c r="K320" s="13"/>
      <c r="L320" s="13"/>
      <c r="M320" s="13"/>
      <c r="N320" s="13"/>
      <c r="O320" s="13"/>
      <c r="P320" s="13"/>
      <c r="Q320" s="13"/>
      <c r="R320" s="13"/>
      <c r="S320" s="13"/>
      <c r="T320" s="13"/>
      <c r="U320" s="13"/>
      <c r="V320" s="13"/>
      <c r="W320" s="13"/>
      <c r="X320" s="13"/>
      <c r="Y320" s="13"/>
      <c r="Z320" s="13"/>
      <c r="AA320" s="13"/>
      <c r="AB320" s="13"/>
      <c r="AC320" s="13"/>
      <c r="AD320" s="13"/>
    </row>
    <row r="321" spans="1:30" ht="12.75" customHeight="1" x14ac:dyDescent="0.25">
      <c r="A321" s="21"/>
      <c r="B321" s="13"/>
      <c r="C321" s="13"/>
      <c r="D321" s="13"/>
      <c r="E321" s="13"/>
      <c r="F321" s="13"/>
      <c r="G321" s="22"/>
      <c r="H321" s="22"/>
      <c r="I321" s="23"/>
      <c r="J321" s="13"/>
      <c r="K321" s="13"/>
      <c r="L321" s="13"/>
      <c r="M321" s="13"/>
      <c r="N321" s="13"/>
      <c r="O321" s="13"/>
      <c r="P321" s="13"/>
      <c r="Q321" s="13"/>
      <c r="R321" s="13"/>
      <c r="S321" s="13"/>
      <c r="T321" s="13"/>
      <c r="U321" s="13"/>
      <c r="V321" s="13"/>
      <c r="W321" s="13"/>
      <c r="X321" s="13"/>
      <c r="Y321" s="13"/>
      <c r="Z321" s="13"/>
      <c r="AA321" s="13"/>
      <c r="AB321" s="13"/>
      <c r="AC321" s="13"/>
      <c r="AD321" s="13"/>
    </row>
    <row r="322" spans="1:30" ht="12.75" customHeight="1" x14ac:dyDescent="0.25">
      <c r="A322" s="21"/>
      <c r="B322" s="13"/>
      <c r="C322" s="13"/>
      <c r="D322" s="13"/>
      <c r="E322" s="13"/>
      <c r="F322" s="13"/>
      <c r="G322" s="22"/>
      <c r="H322" s="22"/>
      <c r="I322" s="23"/>
      <c r="J322" s="13"/>
      <c r="K322" s="13"/>
      <c r="L322" s="13"/>
      <c r="M322" s="13"/>
      <c r="N322" s="13"/>
      <c r="O322" s="13"/>
      <c r="P322" s="13"/>
      <c r="Q322" s="13"/>
      <c r="R322" s="13"/>
      <c r="S322" s="13"/>
      <c r="T322" s="13"/>
      <c r="U322" s="13"/>
      <c r="V322" s="13"/>
      <c r="W322" s="13"/>
      <c r="X322" s="13"/>
      <c r="Y322" s="13"/>
      <c r="Z322" s="13"/>
      <c r="AA322" s="13"/>
      <c r="AB322" s="13"/>
      <c r="AC322" s="13"/>
      <c r="AD322" s="13"/>
    </row>
    <row r="323" spans="1:30" ht="12.75" customHeight="1" x14ac:dyDescent="0.25">
      <c r="A323" s="21"/>
      <c r="B323" s="13"/>
      <c r="C323" s="13"/>
      <c r="D323" s="13"/>
      <c r="E323" s="13"/>
      <c r="F323" s="13"/>
      <c r="G323" s="22"/>
      <c r="H323" s="22"/>
      <c r="I323" s="23"/>
      <c r="J323" s="13"/>
      <c r="K323" s="13"/>
      <c r="L323" s="13"/>
      <c r="M323" s="13"/>
      <c r="N323" s="13"/>
      <c r="O323" s="13"/>
      <c r="P323" s="13"/>
      <c r="Q323" s="13"/>
      <c r="R323" s="13"/>
      <c r="S323" s="13"/>
      <c r="T323" s="13"/>
      <c r="U323" s="13"/>
      <c r="V323" s="13"/>
      <c r="W323" s="13"/>
      <c r="X323" s="13"/>
      <c r="Y323" s="13"/>
      <c r="Z323" s="13"/>
      <c r="AA323" s="13"/>
      <c r="AB323" s="13"/>
      <c r="AC323" s="13"/>
      <c r="AD323" s="13"/>
    </row>
    <row r="324" spans="1:30" ht="12.75" customHeight="1" x14ac:dyDescent="0.25">
      <c r="A324" s="21"/>
      <c r="B324" s="13"/>
      <c r="C324" s="13"/>
      <c r="D324" s="13"/>
      <c r="E324" s="13"/>
      <c r="F324" s="13"/>
      <c r="G324" s="22"/>
      <c r="H324" s="22"/>
      <c r="I324" s="23"/>
      <c r="J324" s="13"/>
      <c r="K324" s="13"/>
      <c r="L324" s="13"/>
      <c r="M324" s="13"/>
      <c r="N324" s="13"/>
      <c r="O324" s="13"/>
      <c r="P324" s="13"/>
      <c r="Q324" s="13"/>
      <c r="R324" s="13"/>
      <c r="S324" s="13"/>
      <c r="T324" s="13"/>
      <c r="U324" s="13"/>
      <c r="V324" s="13"/>
      <c r="W324" s="13"/>
      <c r="X324" s="13"/>
      <c r="Y324" s="13"/>
      <c r="Z324" s="13"/>
      <c r="AA324" s="13"/>
      <c r="AB324" s="13"/>
      <c r="AC324" s="13"/>
      <c r="AD324" s="13"/>
    </row>
    <row r="325" spans="1:30" ht="12.75" customHeight="1" x14ac:dyDescent="0.25">
      <c r="A325" s="21"/>
      <c r="B325" s="13"/>
      <c r="C325" s="13"/>
      <c r="D325" s="13"/>
      <c r="E325" s="13"/>
      <c r="F325" s="13"/>
      <c r="G325" s="22"/>
      <c r="H325" s="22"/>
      <c r="I325" s="23"/>
      <c r="J325" s="13"/>
      <c r="K325" s="13"/>
      <c r="L325" s="13"/>
      <c r="M325" s="13"/>
      <c r="N325" s="13"/>
      <c r="O325" s="13"/>
      <c r="P325" s="13"/>
      <c r="Q325" s="13"/>
      <c r="R325" s="13"/>
      <c r="S325" s="13"/>
      <c r="T325" s="13"/>
      <c r="U325" s="13"/>
      <c r="V325" s="13"/>
      <c r="W325" s="13"/>
      <c r="X325" s="13"/>
      <c r="Y325" s="13"/>
      <c r="Z325" s="13"/>
      <c r="AA325" s="13"/>
      <c r="AB325" s="13"/>
      <c r="AC325" s="13"/>
      <c r="AD325" s="13"/>
    </row>
    <row r="326" spans="1:30" ht="12.75" customHeight="1" x14ac:dyDescent="0.25">
      <c r="A326" s="21"/>
      <c r="B326" s="13"/>
      <c r="C326" s="13"/>
      <c r="D326" s="13"/>
      <c r="E326" s="13"/>
      <c r="F326" s="13"/>
      <c r="G326" s="22"/>
      <c r="H326" s="22"/>
      <c r="I326" s="23"/>
      <c r="J326" s="13"/>
      <c r="K326" s="13"/>
      <c r="L326" s="13"/>
      <c r="M326" s="13"/>
      <c r="N326" s="13"/>
      <c r="O326" s="13"/>
      <c r="P326" s="13"/>
      <c r="Q326" s="13"/>
      <c r="R326" s="13"/>
      <c r="S326" s="13"/>
      <c r="T326" s="13"/>
      <c r="U326" s="13"/>
      <c r="V326" s="13"/>
      <c r="W326" s="13"/>
      <c r="X326" s="13"/>
      <c r="Y326" s="13"/>
      <c r="Z326" s="13"/>
      <c r="AA326" s="13"/>
      <c r="AB326" s="13"/>
      <c r="AC326" s="13"/>
      <c r="AD326" s="13"/>
    </row>
    <row r="327" spans="1:30" ht="12.75" customHeight="1" x14ac:dyDescent="0.25">
      <c r="A327" s="21"/>
      <c r="B327" s="13"/>
      <c r="C327" s="13"/>
      <c r="D327" s="13"/>
      <c r="E327" s="13"/>
      <c r="F327" s="13"/>
      <c r="G327" s="22"/>
      <c r="H327" s="22"/>
      <c r="I327" s="23"/>
      <c r="J327" s="13"/>
      <c r="K327" s="13"/>
      <c r="L327" s="13"/>
      <c r="M327" s="13"/>
      <c r="N327" s="13"/>
      <c r="O327" s="13"/>
      <c r="P327" s="13"/>
      <c r="Q327" s="13"/>
      <c r="R327" s="13"/>
      <c r="S327" s="13"/>
      <c r="T327" s="13"/>
      <c r="U327" s="13"/>
      <c r="V327" s="13"/>
      <c r="W327" s="13"/>
      <c r="X327" s="13"/>
      <c r="Y327" s="13"/>
      <c r="Z327" s="13"/>
      <c r="AA327" s="13"/>
      <c r="AB327" s="13"/>
      <c r="AC327" s="13"/>
      <c r="AD327" s="13"/>
    </row>
    <row r="328" spans="1:30" ht="12.75" customHeight="1" x14ac:dyDescent="0.25">
      <c r="A328" s="21"/>
      <c r="B328" s="13"/>
      <c r="C328" s="13"/>
      <c r="D328" s="13"/>
      <c r="E328" s="13"/>
      <c r="F328" s="13"/>
      <c r="G328" s="22"/>
      <c r="H328" s="22"/>
      <c r="I328" s="23"/>
      <c r="J328" s="13"/>
      <c r="K328" s="13"/>
      <c r="L328" s="13"/>
      <c r="M328" s="13"/>
      <c r="N328" s="13"/>
      <c r="O328" s="13"/>
      <c r="P328" s="13"/>
      <c r="Q328" s="13"/>
      <c r="R328" s="13"/>
      <c r="S328" s="13"/>
      <c r="T328" s="13"/>
      <c r="U328" s="13"/>
      <c r="V328" s="13"/>
      <c r="W328" s="13"/>
      <c r="X328" s="13"/>
      <c r="Y328" s="13"/>
      <c r="Z328" s="13"/>
      <c r="AA328" s="13"/>
      <c r="AB328" s="13"/>
      <c r="AC328" s="13"/>
      <c r="AD328" s="13"/>
    </row>
    <row r="329" spans="1:30" ht="12.75" customHeight="1" x14ac:dyDescent="0.25">
      <c r="A329" s="21"/>
      <c r="B329" s="13"/>
      <c r="C329" s="13"/>
      <c r="D329" s="13"/>
      <c r="E329" s="13"/>
      <c r="F329" s="13"/>
      <c r="G329" s="22"/>
      <c r="H329" s="22"/>
      <c r="I329" s="23"/>
      <c r="J329" s="13"/>
      <c r="K329" s="13"/>
      <c r="L329" s="13"/>
      <c r="M329" s="13"/>
      <c r="N329" s="13"/>
      <c r="O329" s="13"/>
      <c r="P329" s="13"/>
      <c r="Q329" s="13"/>
      <c r="R329" s="13"/>
      <c r="S329" s="13"/>
      <c r="T329" s="13"/>
      <c r="U329" s="13"/>
      <c r="V329" s="13"/>
      <c r="W329" s="13"/>
      <c r="X329" s="13"/>
      <c r="Y329" s="13"/>
      <c r="Z329" s="13"/>
      <c r="AA329" s="13"/>
      <c r="AB329" s="13"/>
      <c r="AC329" s="13"/>
      <c r="AD329" s="13"/>
    </row>
    <row r="330" spans="1:30" ht="12.75" customHeight="1" x14ac:dyDescent="0.25">
      <c r="A330" s="21"/>
      <c r="B330" s="13"/>
      <c r="C330" s="13"/>
      <c r="D330" s="13"/>
      <c r="E330" s="13"/>
      <c r="F330" s="13"/>
      <c r="G330" s="22"/>
      <c r="H330" s="22"/>
      <c r="I330" s="23"/>
      <c r="J330" s="13"/>
      <c r="K330" s="13"/>
      <c r="L330" s="13"/>
      <c r="M330" s="13"/>
      <c r="N330" s="13"/>
      <c r="O330" s="13"/>
      <c r="P330" s="13"/>
      <c r="Q330" s="13"/>
      <c r="R330" s="13"/>
      <c r="S330" s="13"/>
      <c r="T330" s="13"/>
      <c r="U330" s="13"/>
      <c r="V330" s="13"/>
      <c r="W330" s="13"/>
      <c r="X330" s="13"/>
      <c r="Y330" s="13"/>
      <c r="Z330" s="13"/>
      <c r="AA330" s="13"/>
      <c r="AB330" s="13"/>
      <c r="AC330" s="13"/>
      <c r="AD330" s="13"/>
    </row>
    <row r="331" spans="1:30" ht="12.75" customHeight="1" x14ac:dyDescent="0.25">
      <c r="A331" s="21"/>
      <c r="B331" s="13"/>
      <c r="C331" s="13"/>
      <c r="D331" s="13"/>
      <c r="E331" s="13"/>
      <c r="F331" s="13"/>
      <c r="G331" s="22"/>
      <c r="H331" s="22"/>
      <c r="I331" s="23"/>
      <c r="J331" s="13"/>
      <c r="K331" s="13"/>
      <c r="L331" s="13"/>
      <c r="M331" s="13"/>
      <c r="N331" s="13"/>
      <c r="O331" s="13"/>
      <c r="P331" s="13"/>
      <c r="Q331" s="13"/>
      <c r="R331" s="13"/>
      <c r="S331" s="13"/>
      <c r="T331" s="13"/>
      <c r="U331" s="13"/>
      <c r="V331" s="13"/>
      <c r="W331" s="13"/>
      <c r="X331" s="13"/>
      <c r="Y331" s="13"/>
      <c r="Z331" s="13"/>
      <c r="AA331" s="13"/>
      <c r="AB331" s="13"/>
      <c r="AC331" s="13"/>
      <c r="AD331" s="13"/>
    </row>
    <row r="332" spans="1:30" ht="12.75" customHeight="1" x14ac:dyDescent="0.25">
      <c r="A332" s="21"/>
      <c r="B332" s="13"/>
      <c r="C332" s="13"/>
      <c r="D332" s="13"/>
      <c r="E332" s="13"/>
      <c r="F332" s="13"/>
      <c r="G332" s="22"/>
      <c r="H332" s="22"/>
      <c r="I332" s="23"/>
      <c r="J332" s="13"/>
      <c r="K332" s="13"/>
      <c r="L332" s="13"/>
      <c r="M332" s="13"/>
      <c r="N332" s="13"/>
      <c r="O332" s="13"/>
      <c r="P332" s="13"/>
      <c r="Q332" s="13"/>
      <c r="R332" s="13"/>
      <c r="S332" s="13"/>
      <c r="T332" s="13"/>
      <c r="U332" s="13"/>
      <c r="V332" s="13"/>
      <c r="W332" s="13"/>
      <c r="X332" s="13"/>
      <c r="Y332" s="13"/>
      <c r="Z332" s="13"/>
      <c r="AA332" s="13"/>
      <c r="AB332" s="13"/>
      <c r="AC332" s="13"/>
      <c r="AD332" s="13"/>
    </row>
    <row r="333" spans="1:30" ht="12.75" customHeight="1" x14ac:dyDescent="0.25">
      <c r="A333" s="21"/>
      <c r="B333" s="13"/>
      <c r="C333" s="13"/>
      <c r="D333" s="13"/>
      <c r="E333" s="13"/>
      <c r="F333" s="13"/>
      <c r="G333" s="22"/>
      <c r="H333" s="22"/>
      <c r="I333" s="23"/>
      <c r="J333" s="13"/>
      <c r="K333" s="13"/>
      <c r="L333" s="13"/>
      <c r="M333" s="13"/>
      <c r="N333" s="13"/>
      <c r="O333" s="13"/>
      <c r="P333" s="13"/>
      <c r="Q333" s="13"/>
      <c r="R333" s="13"/>
      <c r="S333" s="13"/>
      <c r="T333" s="13"/>
      <c r="U333" s="13"/>
      <c r="V333" s="13"/>
      <c r="W333" s="13"/>
      <c r="X333" s="13"/>
      <c r="Y333" s="13"/>
      <c r="Z333" s="13"/>
      <c r="AA333" s="13"/>
      <c r="AB333" s="13"/>
      <c r="AC333" s="13"/>
      <c r="AD333" s="13"/>
    </row>
    <row r="334" spans="1:30" ht="12.75" customHeight="1" x14ac:dyDescent="0.25">
      <c r="A334" s="21"/>
      <c r="B334" s="13"/>
      <c r="C334" s="13"/>
      <c r="D334" s="13"/>
      <c r="E334" s="13"/>
      <c r="F334" s="13"/>
      <c r="G334" s="22"/>
      <c r="H334" s="22"/>
      <c r="I334" s="23"/>
      <c r="J334" s="13"/>
      <c r="K334" s="13"/>
      <c r="L334" s="13"/>
      <c r="M334" s="13"/>
      <c r="N334" s="13"/>
      <c r="O334" s="13"/>
      <c r="P334" s="13"/>
      <c r="Q334" s="13"/>
      <c r="R334" s="13"/>
      <c r="S334" s="13"/>
      <c r="T334" s="13"/>
      <c r="U334" s="13"/>
      <c r="V334" s="13"/>
      <c r="W334" s="13"/>
      <c r="X334" s="13"/>
      <c r="Y334" s="13"/>
      <c r="Z334" s="13"/>
      <c r="AA334" s="13"/>
      <c r="AB334" s="13"/>
      <c r="AC334" s="13"/>
      <c r="AD334" s="13"/>
    </row>
    <row r="335" spans="1:30" ht="12.75" customHeight="1" x14ac:dyDescent="0.25">
      <c r="A335" s="21"/>
      <c r="B335" s="13"/>
      <c r="C335" s="13"/>
      <c r="D335" s="13"/>
      <c r="E335" s="13"/>
      <c r="F335" s="13"/>
      <c r="G335" s="22"/>
      <c r="H335" s="22"/>
      <c r="I335" s="23"/>
      <c r="J335" s="13"/>
      <c r="K335" s="13"/>
      <c r="L335" s="13"/>
      <c r="M335" s="13"/>
      <c r="N335" s="13"/>
      <c r="O335" s="13"/>
      <c r="P335" s="13"/>
      <c r="Q335" s="13"/>
      <c r="R335" s="13"/>
      <c r="S335" s="13"/>
      <c r="T335" s="13"/>
      <c r="U335" s="13"/>
      <c r="V335" s="13"/>
      <c r="W335" s="13"/>
      <c r="X335" s="13"/>
      <c r="Y335" s="13"/>
      <c r="Z335" s="13"/>
      <c r="AA335" s="13"/>
      <c r="AB335" s="13"/>
      <c r="AC335" s="13"/>
      <c r="AD335" s="13"/>
    </row>
    <row r="336" spans="1:30" ht="12.75" customHeight="1" x14ac:dyDescent="0.25">
      <c r="A336" s="21"/>
      <c r="B336" s="13"/>
      <c r="C336" s="13"/>
      <c r="D336" s="13"/>
      <c r="E336" s="13"/>
      <c r="F336" s="13"/>
      <c r="G336" s="22"/>
      <c r="H336" s="22"/>
      <c r="I336" s="23"/>
      <c r="J336" s="13"/>
      <c r="K336" s="13"/>
      <c r="L336" s="13"/>
      <c r="M336" s="13"/>
      <c r="N336" s="13"/>
      <c r="O336" s="13"/>
      <c r="P336" s="13"/>
      <c r="Q336" s="13"/>
      <c r="R336" s="13"/>
      <c r="S336" s="13"/>
      <c r="T336" s="13"/>
      <c r="U336" s="13"/>
      <c r="V336" s="13"/>
      <c r="W336" s="13"/>
      <c r="X336" s="13"/>
      <c r="Y336" s="13"/>
      <c r="Z336" s="13"/>
      <c r="AA336" s="13"/>
      <c r="AB336" s="13"/>
      <c r="AC336" s="13"/>
      <c r="AD336" s="13"/>
    </row>
    <row r="337" spans="1:30" ht="12.75" customHeight="1" x14ac:dyDescent="0.25">
      <c r="A337" s="21"/>
      <c r="B337" s="13"/>
      <c r="C337" s="13"/>
      <c r="D337" s="13"/>
      <c r="E337" s="13"/>
      <c r="F337" s="13"/>
      <c r="G337" s="22"/>
      <c r="H337" s="22"/>
      <c r="I337" s="23"/>
      <c r="J337" s="13"/>
      <c r="K337" s="13"/>
      <c r="L337" s="13"/>
      <c r="M337" s="13"/>
      <c r="N337" s="13"/>
      <c r="O337" s="13"/>
      <c r="P337" s="13"/>
      <c r="Q337" s="13"/>
      <c r="R337" s="13"/>
      <c r="S337" s="13"/>
      <c r="T337" s="13"/>
      <c r="U337" s="13"/>
      <c r="V337" s="13"/>
      <c r="W337" s="13"/>
      <c r="X337" s="13"/>
      <c r="Y337" s="13"/>
      <c r="Z337" s="13"/>
      <c r="AA337" s="13"/>
      <c r="AB337" s="13"/>
      <c r="AC337" s="13"/>
      <c r="AD337" s="13"/>
    </row>
    <row r="338" spans="1:30" ht="12.75" customHeight="1" x14ac:dyDescent="0.25">
      <c r="A338" s="21"/>
      <c r="B338" s="13"/>
      <c r="C338" s="13"/>
      <c r="D338" s="13"/>
      <c r="E338" s="13"/>
      <c r="F338" s="13"/>
      <c r="G338" s="22"/>
      <c r="H338" s="22"/>
      <c r="I338" s="23"/>
      <c r="J338" s="13"/>
      <c r="K338" s="13"/>
      <c r="L338" s="13"/>
      <c r="M338" s="13"/>
      <c r="N338" s="13"/>
      <c r="O338" s="13"/>
      <c r="P338" s="13"/>
      <c r="Q338" s="13"/>
      <c r="R338" s="13"/>
      <c r="S338" s="13"/>
      <c r="T338" s="13"/>
      <c r="U338" s="13"/>
      <c r="V338" s="13"/>
      <c r="W338" s="13"/>
      <c r="X338" s="13"/>
      <c r="Y338" s="13"/>
      <c r="Z338" s="13"/>
      <c r="AA338" s="13"/>
      <c r="AB338" s="13"/>
      <c r="AC338" s="13"/>
      <c r="AD338" s="13"/>
    </row>
    <row r="339" spans="1:30" ht="12.75" customHeight="1" x14ac:dyDescent="0.25">
      <c r="A339" s="21"/>
      <c r="B339" s="13"/>
      <c r="C339" s="13"/>
      <c r="D339" s="13"/>
      <c r="E339" s="13"/>
      <c r="F339" s="13"/>
      <c r="G339" s="22"/>
      <c r="H339" s="22"/>
      <c r="I339" s="23"/>
      <c r="J339" s="13"/>
      <c r="K339" s="13"/>
      <c r="L339" s="13"/>
      <c r="M339" s="13"/>
      <c r="N339" s="13"/>
      <c r="O339" s="13"/>
      <c r="P339" s="13"/>
      <c r="Q339" s="13"/>
      <c r="R339" s="13"/>
      <c r="S339" s="13"/>
      <c r="T339" s="13"/>
      <c r="U339" s="13"/>
      <c r="V339" s="13"/>
      <c r="W339" s="13"/>
      <c r="X339" s="13"/>
      <c r="Y339" s="13"/>
      <c r="Z339" s="13"/>
      <c r="AA339" s="13"/>
      <c r="AB339" s="13"/>
      <c r="AC339" s="13"/>
      <c r="AD339" s="13"/>
    </row>
    <row r="340" spans="1:30" ht="12.75" customHeight="1" x14ac:dyDescent="0.25">
      <c r="A340" s="21"/>
      <c r="B340" s="13"/>
      <c r="C340" s="13"/>
      <c r="D340" s="13"/>
      <c r="E340" s="13"/>
      <c r="F340" s="13"/>
      <c r="G340" s="22"/>
      <c r="H340" s="22"/>
      <c r="I340" s="23"/>
      <c r="J340" s="13"/>
      <c r="K340" s="13"/>
      <c r="L340" s="13"/>
      <c r="M340" s="13"/>
      <c r="N340" s="13"/>
      <c r="O340" s="13"/>
      <c r="P340" s="13"/>
      <c r="Q340" s="13"/>
      <c r="R340" s="13"/>
      <c r="S340" s="13"/>
      <c r="T340" s="13"/>
      <c r="U340" s="13"/>
      <c r="V340" s="13"/>
      <c r="W340" s="13"/>
      <c r="X340" s="13"/>
      <c r="Y340" s="13"/>
      <c r="Z340" s="13"/>
      <c r="AA340" s="13"/>
      <c r="AB340" s="13"/>
      <c r="AC340" s="13"/>
      <c r="AD340" s="13"/>
    </row>
    <row r="341" spans="1:30" ht="12.75" customHeight="1" x14ac:dyDescent="0.25">
      <c r="A341" s="21"/>
      <c r="B341" s="13"/>
      <c r="C341" s="13"/>
      <c r="D341" s="13"/>
      <c r="E341" s="13"/>
      <c r="F341" s="13"/>
      <c r="G341" s="22"/>
      <c r="H341" s="22"/>
      <c r="I341" s="23"/>
      <c r="J341" s="13"/>
      <c r="K341" s="13"/>
      <c r="L341" s="13"/>
      <c r="M341" s="13"/>
      <c r="N341" s="13"/>
      <c r="O341" s="13"/>
      <c r="P341" s="13"/>
      <c r="Q341" s="13"/>
      <c r="R341" s="13"/>
      <c r="S341" s="13"/>
      <c r="T341" s="13"/>
      <c r="U341" s="13"/>
      <c r="V341" s="13"/>
      <c r="W341" s="13"/>
      <c r="X341" s="13"/>
      <c r="Y341" s="13"/>
      <c r="Z341" s="13"/>
      <c r="AA341" s="13"/>
      <c r="AB341" s="13"/>
      <c r="AC341" s="13"/>
      <c r="AD341" s="13"/>
    </row>
    <row r="342" spans="1:30" ht="12.75" customHeight="1" x14ac:dyDescent="0.25"/>
    <row r="343" spans="1:30" ht="12.75" customHeight="1" x14ac:dyDescent="0.25"/>
    <row r="344" spans="1:30" ht="12.75" customHeight="1" x14ac:dyDescent="0.25"/>
    <row r="345" spans="1:30" ht="12.75" customHeight="1" x14ac:dyDescent="0.25"/>
    <row r="346" spans="1:30" ht="12.75" customHeight="1" x14ac:dyDescent="0.25"/>
    <row r="347" spans="1:30" ht="12.75" customHeight="1" x14ac:dyDescent="0.25"/>
    <row r="348" spans="1:30" ht="12.75" customHeight="1" x14ac:dyDescent="0.25"/>
    <row r="349" spans="1:30" ht="12.75" customHeight="1" x14ac:dyDescent="0.25"/>
    <row r="350" spans="1:30" ht="12.75" customHeight="1" x14ac:dyDescent="0.25"/>
    <row r="351" spans="1:30" ht="12.75" customHeight="1" x14ac:dyDescent="0.25"/>
    <row r="352" spans="1:30" ht="12.75" customHeight="1" x14ac:dyDescent="0.25"/>
    <row r="353" ht="12.75" customHeight="1" x14ac:dyDescent="0.25"/>
    <row r="354" ht="12.75" customHeight="1" x14ac:dyDescent="0.25"/>
    <row r="355" ht="12.75" customHeight="1" x14ac:dyDescent="0.25"/>
    <row r="356" ht="12.75" customHeight="1" x14ac:dyDescent="0.25"/>
    <row r="357" ht="12.75" customHeight="1" x14ac:dyDescent="0.25"/>
    <row r="358" ht="12.75" customHeight="1" x14ac:dyDescent="0.25"/>
    <row r="359" ht="12.75" customHeight="1" x14ac:dyDescent="0.25"/>
    <row r="360" ht="12.75" customHeight="1" x14ac:dyDescent="0.25"/>
    <row r="361" ht="12.75" customHeight="1" x14ac:dyDescent="0.25"/>
    <row r="362" ht="12.75" customHeight="1" x14ac:dyDescent="0.25"/>
    <row r="363" ht="12.75" customHeight="1" x14ac:dyDescent="0.25"/>
    <row r="364" ht="12.75" customHeight="1" x14ac:dyDescent="0.25"/>
    <row r="365" ht="12.75" customHeight="1" x14ac:dyDescent="0.25"/>
    <row r="366" ht="12.75" customHeight="1" x14ac:dyDescent="0.25"/>
    <row r="367" ht="12.75" customHeight="1" x14ac:dyDescent="0.25"/>
    <row r="368" ht="12.75" customHeight="1" x14ac:dyDescent="0.25"/>
    <row r="369" ht="12.75" customHeight="1" x14ac:dyDescent="0.25"/>
    <row r="370" ht="12.75" customHeight="1" x14ac:dyDescent="0.25"/>
    <row r="371" ht="12.75" customHeight="1" x14ac:dyDescent="0.25"/>
    <row r="372" ht="12.75" customHeight="1" x14ac:dyDescent="0.25"/>
    <row r="373" ht="12.75" customHeight="1" x14ac:dyDescent="0.25"/>
    <row r="374" ht="12.75" customHeight="1" x14ac:dyDescent="0.25"/>
    <row r="375" ht="12.75" customHeight="1" x14ac:dyDescent="0.25"/>
    <row r="376" ht="12.75" customHeight="1" x14ac:dyDescent="0.25"/>
    <row r="377" ht="12.75" customHeight="1" x14ac:dyDescent="0.25"/>
    <row r="378" ht="12.75" customHeight="1" x14ac:dyDescent="0.25"/>
    <row r="379" ht="12.75" customHeight="1" x14ac:dyDescent="0.25"/>
    <row r="380" ht="12.75" customHeight="1" x14ac:dyDescent="0.25"/>
    <row r="381" ht="12.75" customHeight="1" x14ac:dyDescent="0.25"/>
    <row r="382" ht="12.75" customHeight="1" x14ac:dyDescent="0.25"/>
    <row r="383" ht="12.75" customHeight="1" x14ac:dyDescent="0.25"/>
    <row r="384" ht="12.75" customHeight="1" x14ac:dyDescent="0.25"/>
    <row r="385" ht="12.75" customHeight="1" x14ac:dyDescent="0.25"/>
    <row r="386" ht="12.75" customHeight="1" x14ac:dyDescent="0.25"/>
    <row r="387" ht="12.75" customHeight="1" x14ac:dyDescent="0.25"/>
    <row r="388" ht="12.75" customHeight="1" x14ac:dyDescent="0.25"/>
    <row r="389" ht="12.75" customHeight="1" x14ac:dyDescent="0.25"/>
    <row r="390" ht="12.75" customHeight="1" x14ac:dyDescent="0.25"/>
    <row r="391" ht="12.75" customHeight="1" x14ac:dyDescent="0.25"/>
    <row r="392" ht="12.75" customHeight="1" x14ac:dyDescent="0.25"/>
    <row r="393" ht="12.75" customHeight="1" x14ac:dyDescent="0.25"/>
    <row r="394" ht="12.75" customHeight="1" x14ac:dyDescent="0.25"/>
    <row r="395" ht="12.75" customHeight="1" x14ac:dyDescent="0.25"/>
    <row r="396" ht="12.75" customHeight="1" x14ac:dyDescent="0.25"/>
    <row r="397" ht="12.75" customHeight="1" x14ac:dyDescent="0.25"/>
    <row r="398" ht="12.75" customHeight="1" x14ac:dyDescent="0.25"/>
    <row r="399" ht="12.75" customHeight="1" x14ac:dyDescent="0.25"/>
    <row r="400" ht="12.75" customHeight="1" x14ac:dyDescent="0.25"/>
    <row r="401" ht="12.75" customHeight="1" x14ac:dyDescent="0.25"/>
    <row r="402" ht="12.75" customHeight="1" x14ac:dyDescent="0.25"/>
    <row r="403" ht="12.75" customHeight="1" x14ac:dyDescent="0.25"/>
    <row r="404" ht="12.75" customHeight="1" x14ac:dyDescent="0.25"/>
    <row r="405" ht="12.75" customHeight="1" x14ac:dyDescent="0.25"/>
    <row r="406" ht="12.75" customHeight="1" x14ac:dyDescent="0.25"/>
    <row r="407" ht="12.75" customHeight="1" x14ac:dyDescent="0.25"/>
    <row r="408" ht="12.75" customHeight="1" x14ac:dyDescent="0.25"/>
    <row r="409" ht="12.75" customHeight="1" x14ac:dyDescent="0.25"/>
    <row r="410" ht="12.75" customHeight="1" x14ac:dyDescent="0.25"/>
    <row r="411" ht="12.75" customHeight="1" x14ac:dyDescent="0.25"/>
    <row r="412" ht="12.75" customHeight="1" x14ac:dyDescent="0.25"/>
    <row r="413" ht="12.75" customHeight="1" x14ac:dyDescent="0.25"/>
    <row r="414" ht="12.75" customHeight="1" x14ac:dyDescent="0.25"/>
    <row r="415" ht="12.75" customHeight="1" x14ac:dyDescent="0.25"/>
    <row r="416" ht="12.75" customHeight="1" x14ac:dyDescent="0.25"/>
    <row r="417" ht="12.75" customHeight="1" x14ac:dyDescent="0.25"/>
    <row r="418" ht="12.75" customHeight="1" x14ac:dyDescent="0.25"/>
    <row r="419" ht="12.75" customHeight="1" x14ac:dyDescent="0.25"/>
    <row r="420" ht="12.75" customHeight="1" x14ac:dyDescent="0.25"/>
    <row r="421" ht="12.75" customHeight="1" x14ac:dyDescent="0.25"/>
    <row r="422" ht="12.75" customHeight="1" x14ac:dyDescent="0.25"/>
    <row r="423" ht="12.75" customHeight="1" x14ac:dyDescent="0.25"/>
    <row r="424" ht="12.75" customHeight="1" x14ac:dyDescent="0.25"/>
    <row r="425" ht="12.75" customHeight="1" x14ac:dyDescent="0.25"/>
    <row r="426" ht="12.75" customHeight="1" x14ac:dyDescent="0.25"/>
    <row r="427" ht="12.75" customHeight="1" x14ac:dyDescent="0.25"/>
    <row r="428" ht="12.75" customHeight="1" x14ac:dyDescent="0.25"/>
    <row r="429" ht="12.75" customHeight="1" x14ac:dyDescent="0.25"/>
    <row r="430" ht="12.75" customHeight="1" x14ac:dyDescent="0.25"/>
    <row r="431" ht="12.75" customHeight="1" x14ac:dyDescent="0.25"/>
    <row r="432" ht="12.75" customHeight="1" x14ac:dyDescent="0.25"/>
    <row r="433" ht="12.75" customHeight="1" x14ac:dyDescent="0.25"/>
    <row r="434" ht="12.75" customHeight="1" x14ac:dyDescent="0.25"/>
    <row r="435" ht="12.75" customHeight="1" x14ac:dyDescent="0.25"/>
    <row r="436" ht="12.75" customHeight="1" x14ac:dyDescent="0.25"/>
    <row r="437" ht="12.75" customHeight="1" x14ac:dyDescent="0.25"/>
    <row r="438" ht="12.75" customHeight="1" x14ac:dyDescent="0.25"/>
    <row r="439" ht="12.75" customHeight="1" x14ac:dyDescent="0.25"/>
    <row r="440" ht="12.75" customHeight="1" x14ac:dyDescent="0.25"/>
    <row r="441" ht="12.75" customHeight="1" x14ac:dyDescent="0.25"/>
    <row r="442" ht="12.75" customHeight="1" x14ac:dyDescent="0.25"/>
    <row r="443" ht="12.75" customHeight="1" x14ac:dyDescent="0.25"/>
    <row r="444" ht="12.75" customHeight="1" x14ac:dyDescent="0.25"/>
    <row r="445" ht="12.75" customHeight="1" x14ac:dyDescent="0.25"/>
    <row r="446" ht="12.75" customHeight="1" x14ac:dyDescent="0.25"/>
    <row r="447" ht="12.75" customHeight="1" x14ac:dyDescent="0.25"/>
    <row r="448" ht="12.75" customHeight="1" x14ac:dyDescent="0.25"/>
    <row r="449" ht="12.75" customHeight="1" x14ac:dyDescent="0.25"/>
    <row r="450" ht="12.75" customHeight="1" x14ac:dyDescent="0.25"/>
    <row r="451" ht="12.75" customHeight="1" x14ac:dyDescent="0.25"/>
    <row r="452" ht="12.75" customHeight="1" x14ac:dyDescent="0.25"/>
    <row r="453" ht="12.75" customHeight="1" x14ac:dyDescent="0.25"/>
    <row r="454" ht="12.75" customHeight="1" x14ac:dyDescent="0.25"/>
    <row r="455" ht="12.75" customHeight="1" x14ac:dyDescent="0.25"/>
    <row r="456" ht="12.75" customHeight="1" x14ac:dyDescent="0.25"/>
    <row r="457" ht="12.75" customHeight="1" x14ac:dyDescent="0.25"/>
    <row r="458" ht="12.75" customHeight="1" x14ac:dyDescent="0.25"/>
    <row r="459" ht="12.75" customHeight="1" x14ac:dyDescent="0.25"/>
    <row r="460" ht="12.75" customHeight="1" x14ac:dyDescent="0.25"/>
    <row r="461" ht="12.75" customHeight="1" x14ac:dyDescent="0.25"/>
    <row r="462" ht="12.75" customHeight="1" x14ac:dyDescent="0.25"/>
    <row r="463" ht="12.75" customHeight="1" x14ac:dyDescent="0.25"/>
    <row r="464" ht="12.75" customHeight="1" x14ac:dyDescent="0.25"/>
    <row r="465" ht="12.75" customHeight="1" x14ac:dyDescent="0.25"/>
    <row r="466" ht="12.75" customHeight="1" x14ac:dyDescent="0.25"/>
    <row r="467" ht="12.75" customHeight="1" x14ac:dyDescent="0.25"/>
    <row r="468" ht="12.75" customHeight="1" x14ac:dyDescent="0.25"/>
    <row r="469" ht="12.75" customHeight="1" x14ac:dyDescent="0.25"/>
    <row r="470" ht="12.75" customHeight="1" x14ac:dyDescent="0.25"/>
    <row r="471" ht="12.75" customHeight="1" x14ac:dyDescent="0.25"/>
    <row r="472" ht="12.75" customHeight="1" x14ac:dyDescent="0.25"/>
    <row r="473" ht="12.75" customHeight="1" x14ac:dyDescent="0.25"/>
    <row r="474" ht="12.75" customHeight="1" x14ac:dyDescent="0.25"/>
    <row r="475" ht="12.75" customHeight="1" x14ac:dyDescent="0.25"/>
    <row r="476" ht="12.75" customHeight="1" x14ac:dyDescent="0.25"/>
    <row r="477" ht="12.75" customHeight="1" x14ac:dyDescent="0.25"/>
    <row r="478" ht="12.75" customHeight="1" x14ac:dyDescent="0.25"/>
    <row r="479" ht="12.75" customHeight="1" x14ac:dyDescent="0.25"/>
    <row r="480" ht="12.75" customHeight="1" x14ac:dyDescent="0.25"/>
    <row r="481" ht="12.75" customHeight="1" x14ac:dyDescent="0.25"/>
    <row r="482" ht="12.75" customHeight="1" x14ac:dyDescent="0.25"/>
    <row r="483" ht="12.75" customHeight="1" x14ac:dyDescent="0.25"/>
    <row r="484" ht="12.75" customHeight="1" x14ac:dyDescent="0.25"/>
    <row r="485" ht="12.75" customHeight="1" x14ac:dyDescent="0.25"/>
    <row r="486" ht="12.75" customHeight="1" x14ac:dyDescent="0.25"/>
    <row r="487" ht="12.75" customHeight="1" x14ac:dyDescent="0.25"/>
    <row r="488" ht="12.75" customHeight="1" x14ac:dyDescent="0.25"/>
    <row r="489" ht="12.75" customHeight="1" x14ac:dyDescent="0.25"/>
    <row r="490" ht="12.75" customHeight="1" x14ac:dyDescent="0.25"/>
    <row r="491" ht="12.75" customHeight="1" x14ac:dyDescent="0.25"/>
    <row r="492" ht="12.75" customHeight="1" x14ac:dyDescent="0.25"/>
    <row r="493" ht="12.75" customHeight="1" x14ac:dyDescent="0.25"/>
    <row r="494" ht="12.75" customHeight="1" x14ac:dyDescent="0.25"/>
    <row r="495" ht="12.75" customHeight="1" x14ac:dyDescent="0.25"/>
    <row r="496" ht="12.75" customHeight="1" x14ac:dyDescent="0.25"/>
    <row r="497" ht="12.75" customHeight="1" x14ac:dyDescent="0.25"/>
    <row r="498" ht="12.75" customHeight="1" x14ac:dyDescent="0.25"/>
    <row r="499" ht="12.75" customHeight="1" x14ac:dyDescent="0.25"/>
    <row r="500" ht="12.75" customHeight="1" x14ac:dyDescent="0.25"/>
    <row r="501" ht="12.75" customHeight="1" x14ac:dyDescent="0.25"/>
    <row r="502" ht="12.75" customHeight="1" x14ac:dyDescent="0.25"/>
    <row r="503" ht="12.75" customHeight="1" x14ac:dyDescent="0.25"/>
    <row r="504" ht="12.75" customHeight="1" x14ac:dyDescent="0.25"/>
    <row r="505" ht="12.75" customHeight="1" x14ac:dyDescent="0.25"/>
    <row r="506" ht="12.75" customHeight="1" x14ac:dyDescent="0.25"/>
    <row r="507" ht="12.75" customHeight="1" x14ac:dyDescent="0.25"/>
    <row r="508" ht="12.75" customHeight="1" x14ac:dyDescent="0.25"/>
    <row r="509" ht="12.75" customHeight="1" x14ac:dyDescent="0.25"/>
    <row r="510" ht="12.75" customHeight="1" x14ac:dyDescent="0.25"/>
    <row r="511" ht="12.75" customHeight="1" x14ac:dyDescent="0.25"/>
    <row r="512" ht="12.75" customHeight="1" x14ac:dyDescent="0.25"/>
    <row r="513" ht="12.75" customHeight="1" x14ac:dyDescent="0.25"/>
    <row r="514" ht="12.75" customHeight="1" x14ac:dyDescent="0.25"/>
    <row r="515" ht="12.75" customHeight="1" x14ac:dyDescent="0.25"/>
    <row r="516" ht="12.75" customHeight="1" x14ac:dyDescent="0.25"/>
    <row r="517" ht="12.75" customHeight="1" x14ac:dyDescent="0.25"/>
    <row r="518" ht="12.75" customHeight="1" x14ac:dyDescent="0.25"/>
    <row r="519" ht="12.75" customHeight="1" x14ac:dyDescent="0.25"/>
    <row r="520" ht="12.75" customHeight="1" x14ac:dyDescent="0.25"/>
    <row r="521" ht="12.75" customHeight="1" x14ac:dyDescent="0.25"/>
    <row r="522" ht="12.75" customHeight="1" x14ac:dyDescent="0.25"/>
    <row r="523" ht="12.75" customHeight="1" x14ac:dyDescent="0.25"/>
    <row r="524" ht="12.75" customHeight="1" x14ac:dyDescent="0.25"/>
    <row r="525" ht="12.75" customHeight="1" x14ac:dyDescent="0.25"/>
    <row r="526" ht="12.75" customHeight="1" x14ac:dyDescent="0.25"/>
    <row r="527" ht="12.75" customHeight="1" x14ac:dyDescent="0.25"/>
    <row r="528" ht="12.75" customHeight="1" x14ac:dyDescent="0.25"/>
    <row r="529" ht="12.75" customHeight="1" x14ac:dyDescent="0.25"/>
    <row r="530" ht="12.75" customHeight="1" x14ac:dyDescent="0.25"/>
    <row r="531" ht="12.75" customHeight="1" x14ac:dyDescent="0.25"/>
    <row r="532" ht="12.75" customHeight="1" x14ac:dyDescent="0.25"/>
    <row r="533" ht="12.75" customHeight="1" x14ac:dyDescent="0.25"/>
    <row r="534" ht="12.75" customHeight="1" x14ac:dyDescent="0.25"/>
    <row r="535" ht="12.75" customHeight="1" x14ac:dyDescent="0.25"/>
    <row r="536" ht="12.75" customHeight="1" x14ac:dyDescent="0.25"/>
    <row r="537" ht="12.75" customHeight="1" x14ac:dyDescent="0.25"/>
    <row r="538" ht="12.75" customHeight="1" x14ac:dyDescent="0.25"/>
    <row r="539" ht="12.75" customHeight="1" x14ac:dyDescent="0.25"/>
    <row r="540" ht="12.75" customHeight="1" x14ac:dyDescent="0.25"/>
    <row r="541" ht="12.75" customHeight="1" x14ac:dyDescent="0.25"/>
    <row r="542" ht="12.75" customHeight="1" x14ac:dyDescent="0.25"/>
    <row r="543" ht="12.75" customHeight="1" x14ac:dyDescent="0.25"/>
    <row r="544" ht="12.75" customHeight="1" x14ac:dyDescent="0.25"/>
    <row r="545" ht="12.75" customHeight="1" x14ac:dyDescent="0.25"/>
    <row r="546" ht="12.75" customHeight="1" x14ac:dyDescent="0.25"/>
    <row r="547" ht="12.75" customHeight="1" x14ac:dyDescent="0.25"/>
    <row r="548" ht="12.75" customHeight="1" x14ac:dyDescent="0.25"/>
    <row r="549" ht="12.75" customHeight="1" x14ac:dyDescent="0.25"/>
    <row r="550" ht="12.75" customHeight="1" x14ac:dyDescent="0.25"/>
    <row r="551" ht="12.75" customHeight="1" x14ac:dyDescent="0.25"/>
    <row r="552" ht="12.75" customHeight="1" x14ac:dyDescent="0.25"/>
    <row r="553" ht="12.75" customHeight="1" x14ac:dyDescent="0.25"/>
    <row r="554" ht="12.75" customHeight="1" x14ac:dyDescent="0.25"/>
    <row r="555" ht="12.75" customHeight="1" x14ac:dyDescent="0.25"/>
    <row r="556" ht="12.75" customHeight="1" x14ac:dyDescent="0.25"/>
    <row r="557" ht="12.75" customHeight="1" x14ac:dyDescent="0.25"/>
    <row r="558" ht="12.75" customHeight="1" x14ac:dyDescent="0.25"/>
    <row r="559" ht="12.75" customHeight="1" x14ac:dyDescent="0.25"/>
    <row r="560" ht="12.75" customHeight="1" x14ac:dyDescent="0.25"/>
    <row r="561" ht="12.75" customHeight="1" x14ac:dyDescent="0.25"/>
    <row r="562" ht="12.75" customHeight="1" x14ac:dyDescent="0.25"/>
    <row r="563" ht="12.75" customHeight="1" x14ac:dyDescent="0.25"/>
    <row r="564" ht="12.75" customHeight="1" x14ac:dyDescent="0.25"/>
    <row r="565" ht="12.75" customHeight="1" x14ac:dyDescent="0.25"/>
    <row r="566" ht="12.75" customHeight="1" x14ac:dyDescent="0.25"/>
    <row r="567" ht="12.75" customHeight="1" x14ac:dyDescent="0.25"/>
    <row r="568" ht="12.75" customHeight="1" x14ac:dyDescent="0.25"/>
    <row r="569" ht="12.75" customHeight="1" x14ac:dyDescent="0.25"/>
    <row r="570" ht="12.75" customHeight="1" x14ac:dyDescent="0.25"/>
    <row r="571" ht="12.75" customHeight="1" x14ac:dyDescent="0.25"/>
    <row r="572" ht="12.75" customHeight="1" x14ac:dyDescent="0.25"/>
    <row r="573" ht="12.75" customHeight="1" x14ac:dyDescent="0.25"/>
    <row r="574" ht="12.75" customHeight="1" x14ac:dyDescent="0.25"/>
    <row r="575" ht="12.75" customHeight="1" x14ac:dyDescent="0.25"/>
    <row r="576" ht="12.75" customHeight="1" x14ac:dyDescent="0.25"/>
    <row r="577" ht="12.75" customHeight="1" x14ac:dyDescent="0.25"/>
    <row r="578" ht="12.75" customHeight="1" x14ac:dyDescent="0.25"/>
    <row r="579" ht="12.75" customHeight="1" x14ac:dyDescent="0.25"/>
    <row r="580" ht="12.75" customHeight="1" x14ac:dyDescent="0.25"/>
    <row r="581" ht="12.75" customHeight="1" x14ac:dyDescent="0.25"/>
    <row r="582" ht="12.75" customHeight="1" x14ac:dyDescent="0.25"/>
    <row r="583" ht="12.75" customHeight="1" x14ac:dyDescent="0.25"/>
    <row r="584" ht="12.75" customHeight="1" x14ac:dyDescent="0.25"/>
    <row r="585" ht="12.75" customHeight="1" x14ac:dyDescent="0.25"/>
    <row r="586" ht="12.75" customHeight="1" x14ac:dyDescent="0.25"/>
    <row r="587" ht="12.75" customHeight="1" x14ac:dyDescent="0.25"/>
    <row r="588" ht="12.75" customHeight="1" x14ac:dyDescent="0.25"/>
    <row r="589" ht="12.75" customHeight="1" x14ac:dyDescent="0.25"/>
    <row r="590" ht="12.75" customHeight="1" x14ac:dyDescent="0.25"/>
    <row r="591" ht="12.75" customHeight="1" x14ac:dyDescent="0.25"/>
    <row r="592" ht="12.75" customHeight="1" x14ac:dyDescent="0.25"/>
    <row r="593" ht="12.75" customHeight="1" x14ac:dyDescent="0.25"/>
    <row r="594" ht="12.75" customHeight="1" x14ac:dyDescent="0.25"/>
    <row r="595" ht="12.75" customHeight="1" x14ac:dyDescent="0.25"/>
    <row r="596" ht="12.75" customHeight="1" x14ac:dyDescent="0.25"/>
    <row r="597" ht="12.75" customHeight="1" x14ac:dyDescent="0.25"/>
    <row r="598" ht="12.75" customHeight="1" x14ac:dyDescent="0.25"/>
    <row r="599" ht="12.75" customHeight="1" x14ac:dyDescent="0.25"/>
    <row r="600" ht="12.75" customHeight="1" x14ac:dyDescent="0.25"/>
    <row r="601" ht="12.75" customHeight="1" x14ac:dyDescent="0.25"/>
    <row r="602" ht="12.75" customHeight="1" x14ac:dyDescent="0.25"/>
    <row r="603" ht="12.75" customHeight="1" x14ac:dyDescent="0.25"/>
    <row r="604" ht="12.75" customHeight="1" x14ac:dyDescent="0.25"/>
    <row r="605" ht="12.75" customHeight="1" x14ac:dyDescent="0.25"/>
    <row r="606" ht="12.75" customHeight="1" x14ac:dyDescent="0.25"/>
    <row r="607" ht="12.75" customHeight="1" x14ac:dyDescent="0.25"/>
    <row r="608" ht="12.75" customHeight="1" x14ac:dyDescent="0.25"/>
    <row r="609" ht="12.75" customHeight="1" x14ac:dyDescent="0.25"/>
    <row r="610" ht="12.75" customHeight="1" x14ac:dyDescent="0.25"/>
    <row r="611" ht="12.75" customHeight="1" x14ac:dyDescent="0.25"/>
    <row r="612" ht="12.75" customHeight="1" x14ac:dyDescent="0.25"/>
    <row r="613" ht="12.75" customHeight="1" x14ac:dyDescent="0.25"/>
    <row r="614" ht="12.75" customHeight="1" x14ac:dyDescent="0.25"/>
    <row r="615" ht="12.75" customHeight="1" x14ac:dyDescent="0.25"/>
    <row r="616" ht="12.75" customHeight="1" x14ac:dyDescent="0.25"/>
    <row r="617" ht="12.75" customHeight="1" x14ac:dyDescent="0.25"/>
    <row r="618" ht="12.75" customHeight="1" x14ac:dyDescent="0.25"/>
    <row r="619" ht="12.75" customHeight="1" x14ac:dyDescent="0.25"/>
    <row r="620" ht="12.75" customHeight="1" x14ac:dyDescent="0.25"/>
    <row r="621" ht="12.75" customHeight="1" x14ac:dyDescent="0.25"/>
    <row r="622" ht="12.75" customHeight="1" x14ac:dyDescent="0.25"/>
    <row r="623" ht="12.75" customHeight="1" x14ac:dyDescent="0.25"/>
    <row r="624" ht="12.75" customHeight="1" x14ac:dyDescent="0.25"/>
    <row r="625" ht="12.75" customHeight="1" x14ac:dyDescent="0.25"/>
    <row r="626" ht="12.75" customHeight="1" x14ac:dyDescent="0.25"/>
    <row r="627" ht="12.75" customHeight="1" x14ac:dyDescent="0.25"/>
    <row r="628" ht="12.75" customHeight="1" x14ac:dyDescent="0.25"/>
    <row r="629" ht="12.75" customHeight="1" x14ac:dyDescent="0.25"/>
    <row r="630" ht="12.75" customHeight="1" x14ac:dyDescent="0.25"/>
    <row r="631" ht="12.75" customHeight="1" x14ac:dyDescent="0.25"/>
    <row r="632" ht="12.75" customHeight="1" x14ac:dyDescent="0.25"/>
    <row r="633" ht="12.75" customHeight="1" x14ac:dyDescent="0.25"/>
    <row r="634" ht="12.75" customHeight="1" x14ac:dyDescent="0.25"/>
    <row r="635" ht="12.75" customHeight="1" x14ac:dyDescent="0.25"/>
    <row r="636" ht="12.75" customHeight="1" x14ac:dyDescent="0.25"/>
    <row r="637" ht="12.75" customHeight="1" x14ac:dyDescent="0.25"/>
    <row r="638" ht="12.75" customHeight="1" x14ac:dyDescent="0.25"/>
    <row r="639" ht="12.75" customHeight="1" x14ac:dyDescent="0.25"/>
    <row r="640" ht="12.75" customHeight="1" x14ac:dyDescent="0.25"/>
    <row r="641" ht="12.75" customHeight="1" x14ac:dyDescent="0.25"/>
    <row r="642" ht="12.75" customHeight="1" x14ac:dyDescent="0.25"/>
    <row r="643" ht="12.75" customHeight="1" x14ac:dyDescent="0.25"/>
    <row r="644" ht="12.75" customHeight="1" x14ac:dyDescent="0.25"/>
    <row r="645" ht="12.75" customHeight="1" x14ac:dyDescent="0.25"/>
    <row r="646" ht="12.75" customHeight="1" x14ac:dyDescent="0.25"/>
    <row r="647" ht="12.75" customHeight="1" x14ac:dyDescent="0.25"/>
    <row r="648" ht="12.75" customHeight="1" x14ac:dyDescent="0.25"/>
    <row r="649" ht="12.75" customHeight="1" x14ac:dyDescent="0.25"/>
    <row r="650" ht="12.75" customHeight="1" x14ac:dyDescent="0.25"/>
    <row r="651" ht="12.75" customHeight="1" x14ac:dyDescent="0.25"/>
    <row r="652" ht="12.75" customHeight="1" x14ac:dyDescent="0.25"/>
    <row r="653" ht="12.75" customHeight="1" x14ac:dyDescent="0.25"/>
    <row r="654" ht="12.75" customHeight="1" x14ac:dyDescent="0.25"/>
    <row r="655" ht="12.75" customHeight="1" x14ac:dyDescent="0.25"/>
    <row r="656" ht="12.75" customHeight="1" x14ac:dyDescent="0.25"/>
    <row r="657" ht="12.75" customHeight="1" x14ac:dyDescent="0.25"/>
    <row r="658" ht="12.75" customHeight="1" x14ac:dyDescent="0.25"/>
    <row r="659" ht="12.75" customHeight="1" x14ac:dyDescent="0.25"/>
    <row r="660" ht="12.75" customHeight="1" x14ac:dyDescent="0.25"/>
    <row r="661" ht="12.75" customHeight="1" x14ac:dyDescent="0.25"/>
    <row r="662" ht="12.75" customHeight="1" x14ac:dyDescent="0.25"/>
    <row r="663" ht="12.75" customHeight="1" x14ac:dyDescent="0.25"/>
    <row r="664" ht="12.75" customHeight="1" x14ac:dyDescent="0.25"/>
    <row r="665" ht="12.75" customHeight="1" x14ac:dyDescent="0.25"/>
    <row r="666" ht="12.75" customHeight="1" x14ac:dyDescent="0.25"/>
    <row r="667" ht="12.75" customHeight="1" x14ac:dyDescent="0.25"/>
    <row r="668" ht="12.75" customHeight="1" x14ac:dyDescent="0.25"/>
    <row r="669" ht="12.75" customHeight="1" x14ac:dyDescent="0.25"/>
    <row r="670" ht="12.75" customHeight="1" x14ac:dyDescent="0.25"/>
    <row r="671" ht="12.75" customHeight="1" x14ac:dyDescent="0.25"/>
    <row r="672" ht="12.75" customHeight="1" x14ac:dyDescent="0.25"/>
    <row r="673" ht="12.75" customHeight="1" x14ac:dyDescent="0.25"/>
    <row r="674" ht="12.75" customHeight="1" x14ac:dyDescent="0.25"/>
    <row r="675" ht="12.75" customHeight="1" x14ac:dyDescent="0.25"/>
    <row r="676" ht="12.75" customHeight="1" x14ac:dyDescent="0.25"/>
    <row r="677" ht="12.75" customHeight="1" x14ac:dyDescent="0.25"/>
    <row r="678" ht="12.75" customHeight="1" x14ac:dyDescent="0.25"/>
    <row r="679" ht="12.75" customHeight="1" x14ac:dyDescent="0.25"/>
    <row r="680" ht="12.75" customHeight="1" x14ac:dyDescent="0.25"/>
    <row r="681" ht="12.75" customHeight="1" x14ac:dyDescent="0.25"/>
    <row r="682" ht="12.75" customHeight="1" x14ac:dyDescent="0.25"/>
    <row r="683" ht="12.75" customHeight="1" x14ac:dyDescent="0.25"/>
    <row r="684" ht="12.75" customHeight="1" x14ac:dyDescent="0.25"/>
    <row r="685" ht="12.75" customHeight="1" x14ac:dyDescent="0.25"/>
    <row r="686" ht="12.75" customHeight="1" x14ac:dyDescent="0.25"/>
    <row r="687" ht="12.75" customHeight="1" x14ac:dyDescent="0.25"/>
    <row r="688" ht="12.75" customHeight="1" x14ac:dyDescent="0.25"/>
    <row r="689" ht="12.75" customHeight="1" x14ac:dyDescent="0.25"/>
    <row r="690" ht="12.75" customHeight="1" x14ac:dyDescent="0.25"/>
    <row r="691" ht="12.75" customHeight="1" x14ac:dyDescent="0.25"/>
    <row r="692" ht="12.75" customHeight="1" x14ac:dyDescent="0.25"/>
    <row r="693" ht="12.75" customHeight="1" x14ac:dyDescent="0.25"/>
    <row r="694" ht="12.75" customHeight="1" x14ac:dyDescent="0.25"/>
    <row r="695" ht="12.75" customHeight="1" x14ac:dyDescent="0.25"/>
    <row r="696" ht="12.75" customHeight="1" x14ac:dyDescent="0.25"/>
    <row r="697" ht="12.75" customHeight="1" x14ac:dyDescent="0.25"/>
    <row r="698" ht="12.75" customHeight="1" x14ac:dyDescent="0.25"/>
    <row r="699" ht="12.75" customHeight="1" x14ac:dyDescent="0.25"/>
    <row r="700" ht="12.75" customHeight="1" x14ac:dyDescent="0.25"/>
    <row r="701" ht="12.75" customHeight="1" x14ac:dyDescent="0.25"/>
    <row r="702" ht="12.75" customHeight="1" x14ac:dyDescent="0.25"/>
    <row r="703" ht="12.75" customHeight="1" x14ac:dyDescent="0.25"/>
    <row r="704" ht="12.75" customHeight="1" x14ac:dyDescent="0.25"/>
    <row r="705" ht="12.75" customHeight="1" x14ac:dyDescent="0.25"/>
    <row r="706" ht="12.75" customHeight="1" x14ac:dyDescent="0.25"/>
    <row r="707" ht="12.75" customHeight="1" x14ac:dyDescent="0.25"/>
    <row r="708" ht="12.75" customHeight="1" x14ac:dyDescent="0.25"/>
    <row r="709" ht="12.75" customHeight="1" x14ac:dyDescent="0.25"/>
    <row r="710" ht="12.75" customHeight="1" x14ac:dyDescent="0.25"/>
    <row r="711" ht="12.75" customHeight="1" x14ac:dyDescent="0.25"/>
    <row r="712" ht="12.75" customHeight="1" x14ac:dyDescent="0.25"/>
    <row r="713" ht="12.75" customHeight="1" x14ac:dyDescent="0.25"/>
    <row r="714" ht="12.75" customHeight="1" x14ac:dyDescent="0.25"/>
    <row r="715" ht="12.75" customHeight="1" x14ac:dyDescent="0.25"/>
    <row r="716" ht="12.75" customHeight="1" x14ac:dyDescent="0.25"/>
    <row r="717" ht="12.75" customHeight="1" x14ac:dyDescent="0.25"/>
    <row r="718" ht="12.75" customHeight="1" x14ac:dyDescent="0.25"/>
    <row r="719" ht="12.75" customHeight="1" x14ac:dyDescent="0.25"/>
    <row r="720" ht="12.75" customHeight="1" x14ac:dyDescent="0.25"/>
    <row r="721" ht="12.75" customHeight="1" x14ac:dyDescent="0.25"/>
    <row r="722" ht="12.75" customHeight="1" x14ac:dyDescent="0.25"/>
    <row r="723" ht="12.75" customHeight="1" x14ac:dyDescent="0.25"/>
    <row r="724" ht="12.75" customHeight="1" x14ac:dyDescent="0.25"/>
    <row r="725" ht="12.75" customHeight="1" x14ac:dyDescent="0.25"/>
    <row r="726" ht="12.75" customHeight="1" x14ac:dyDescent="0.25"/>
    <row r="727" ht="12.75" customHeight="1" x14ac:dyDescent="0.25"/>
    <row r="728" ht="12.75" customHeight="1" x14ac:dyDescent="0.25"/>
    <row r="729" ht="12.75" customHeight="1" x14ac:dyDescent="0.25"/>
    <row r="730" ht="12.75" customHeight="1" x14ac:dyDescent="0.25"/>
    <row r="731" ht="12.75" customHeight="1" x14ac:dyDescent="0.25"/>
    <row r="732" ht="12.75" customHeight="1" x14ac:dyDescent="0.25"/>
    <row r="733" ht="12.75" customHeight="1" x14ac:dyDescent="0.25"/>
    <row r="734" ht="12.75" customHeight="1" x14ac:dyDescent="0.25"/>
    <row r="735" ht="12.75" customHeight="1" x14ac:dyDescent="0.25"/>
    <row r="736" ht="12.75" customHeight="1" x14ac:dyDescent="0.25"/>
    <row r="737" ht="12.75" customHeight="1" x14ac:dyDescent="0.25"/>
    <row r="738" ht="12.75" customHeight="1" x14ac:dyDescent="0.25"/>
    <row r="739" ht="12.75" customHeight="1" x14ac:dyDescent="0.25"/>
    <row r="740" ht="12.75" customHeight="1" x14ac:dyDescent="0.25"/>
    <row r="741" ht="12.75" customHeight="1" x14ac:dyDescent="0.25"/>
    <row r="742" ht="12.75" customHeight="1" x14ac:dyDescent="0.25"/>
    <row r="743" ht="12.75" customHeight="1" x14ac:dyDescent="0.25"/>
    <row r="744" ht="12.75" customHeight="1" x14ac:dyDescent="0.25"/>
    <row r="745" ht="12.75" customHeight="1" x14ac:dyDescent="0.25"/>
    <row r="746" ht="12.75" customHeight="1" x14ac:dyDescent="0.25"/>
    <row r="747" ht="12.75" customHeight="1" x14ac:dyDescent="0.25"/>
    <row r="748" ht="12.75" customHeight="1" x14ac:dyDescent="0.25"/>
    <row r="749" ht="12.75" customHeight="1" x14ac:dyDescent="0.25"/>
    <row r="750" ht="12.75" customHeight="1" x14ac:dyDescent="0.25"/>
    <row r="751" ht="12.75" customHeight="1" x14ac:dyDescent="0.25"/>
    <row r="752" ht="12.75" customHeight="1" x14ac:dyDescent="0.25"/>
    <row r="753" ht="12.75" customHeight="1" x14ac:dyDescent="0.25"/>
    <row r="754" ht="12.75" customHeight="1" x14ac:dyDescent="0.25"/>
    <row r="755" ht="12.75" customHeight="1" x14ac:dyDescent="0.25"/>
    <row r="756" ht="12.75" customHeight="1" x14ac:dyDescent="0.25"/>
    <row r="757" ht="12.75" customHeight="1" x14ac:dyDescent="0.25"/>
    <row r="758" ht="12.75" customHeight="1" x14ac:dyDescent="0.25"/>
    <row r="759" ht="12.75" customHeight="1" x14ac:dyDescent="0.25"/>
    <row r="760" ht="12.75" customHeight="1" x14ac:dyDescent="0.25"/>
    <row r="761" ht="12.75" customHeight="1" x14ac:dyDescent="0.25"/>
    <row r="762" ht="12.75" customHeight="1" x14ac:dyDescent="0.25"/>
    <row r="763" ht="12.75" customHeight="1" x14ac:dyDescent="0.25"/>
    <row r="764" ht="12.75" customHeight="1" x14ac:dyDescent="0.25"/>
    <row r="765" ht="12.75" customHeight="1" x14ac:dyDescent="0.25"/>
    <row r="766" ht="12.75" customHeight="1" x14ac:dyDescent="0.25"/>
    <row r="767" ht="12.75" customHeight="1" x14ac:dyDescent="0.25"/>
    <row r="768" ht="12.75" customHeight="1" x14ac:dyDescent="0.25"/>
    <row r="769" ht="12.75" customHeight="1" x14ac:dyDescent="0.25"/>
    <row r="770" ht="12.75" customHeight="1" x14ac:dyDescent="0.25"/>
    <row r="771" ht="12.75" customHeight="1" x14ac:dyDescent="0.25"/>
    <row r="772" ht="12.75" customHeight="1" x14ac:dyDescent="0.25"/>
    <row r="773" ht="12.75" customHeight="1" x14ac:dyDescent="0.25"/>
    <row r="774" ht="12.75" customHeight="1" x14ac:dyDescent="0.25"/>
    <row r="775" ht="12.75" customHeight="1" x14ac:dyDescent="0.25"/>
    <row r="776" ht="12.75" customHeight="1" x14ac:dyDescent="0.25"/>
    <row r="777" ht="12.75" customHeight="1" x14ac:dyDescent="0.25"/>
    <row r="778" ht="12.75" customHeight="1" x14ac:dyDescent="0.25"/>
    <row r="779" ht="12.75" customHeight="1" x14ac:dyDescent="0.25"/>
    <row r="780" ht="12.75" customHeight="1" x14ac:dyDescent="0.25"/>
    <row r="781" ht="12.75" customHeight="1" x14ac:dyDescent="0.25"/>
    <row r="782" ht="12.75" customHeight="1" x14ac:dyDescent="0.25"/>
    <row r="783" ht="12.75" customHeight="1" x14ac:dyDescent="0.25"/>
    <row r="784" ht="12.75" customHeight="1" x14ac:dyDescent="0.25"/>
    <row r="785" ht="12.75" customHeight="1" x14ac:dyDescent="0.25"/>
    <row r="786" ht="12.75" customHeight="1" x14ac:dyDescent="0.25"/>
    <row r="787" ht="12.75" customHeight="1" x14ac:dyDescent="0.25"/>
    <row r="788" ht="12.75" customHeight="1" x14ac:dyDescent="0.25"/>
    <row r="789" ht="12.75" customHeight="1" x14ac:dyDescent="0.25"/>
    <row r="790" ht="12.75" customHeight="1" x14ac:dyDescent="0.25"/>
    <row r="791" ht="12.75" customHeight="1" x14ac:dyDescent="0.25"/>
    <row r="792" ht="12.75" customHeight="1" x14ac:dyDescent="0.25"/>
    <row r="793" ht="12.75" customHeight="1" x14ac:dyDescent="0.25"/>
    <row r="794" ht="12.75" customHeight="1" x14ac:dyDescent="0.25"/>
    <row r="795" ht="12.75" customHeight="1" x14ac:dyDescent="0.25"/>
    <row r="796" ht="12.75" customHeight="1" x14ac:dyDescent="0.25"/>
    <row r="797" ht="12.75" customHeight="1" x14ac:dyDescent="0.25"/>
    <row r="798" ht="12.75" customHeight="1" x14ac:dyDescent="0.25"/>
    <row r="799" ht="12.75" customHeight="1" x14ac:dyDescent="0.25"/>
    <row r="800" ht="12.75" customHeight="1" x14ac:dyDescent="0.25"/>
    <row r="801" ht="12.75" customHeight="1" x14ac:dyDescent="0.25"/>
    <row r="802" ht="12.75" customHeight="1" x14ac:dyDescent="0.25"/>
    <row r="803" ht="12.75" customHeight="1" x14ac:dyDescent="0.25"/>
    <row r="804" ht="12.75" customHeight="1" x14ac:dyDescent="0.25"/>
    <row r="805" ht="12.75" customHeight="1" x14ac:dyDescent="0.25"/>
    <row r="806" ht="12.75" customHeight="1" x14ac:dyDescent="0.25"/>
    <row r="807" ht="12.75" customHeight="1" x14ac:dyDescent="0.25"/>
    <row r="808" ht="12.75" customHeight="1" x14ac:dyDescent="0.25"/>
    <row r="809" ht="12.75" customHeight="1" x14ac:dyDescent="0.25"/>
    <row r="810" ht="12.75" customHeight="1" x14ac:dyDescent="0.25"/>
    <row r="811" ht="12.75" customHeight="1" x14ac:dyDescent="0.25"/>
    <row r="812" ht="12.75" customHeight="1" x14ac:dyDescent="0.25"/>
    <row r="813" ht="12.75" customHeight="1" x14ac:dyDescent="0.25"/>
    <row r="814" ht="12.75" customHeight="1" x14ac:dyDescent="0.25"/>
    <row r="815" ht="12.75" customHeight="1" x14ac:dyDescent="0.25"/>
    <row r="816" ht="12.75" customHeight="1" x14ac:dyDescent="0.25"/>
    <row r="817" ht="12.75" customHeight="1" x14ac:dyDescent="0.25"/>
    <row r="818" ht="12.75" customHeight="1" x14ac:dyDescent="0.25"/>
    <row r="819" ht="12.75" customHeight="1" x14ac:dyDescent="0.25"/>
    <row r="820" ht="12.75" customHeight="1" x14ac:dyDescent="0.25"/>
    <row r="821" ht="12.75" customHeight="1" x14ac:dyDescent="0.25"/>
    <row r="822" ht="12.75" customHeight="1" x14ac:dyDescent="0.25"/>
    <row r="823" ht="12.75" customHeight="1" x14ac:dyDescent="0.25"/>
    <row r="824" ht="12.75" customHeight="1" x14ac:dyDescent="0.25"/>
    <row r="825" ht="12.75" customHeight="1" x14ac:dyDescent="0.25"/>
    <row r="826" ht="12.75" customHeight="1" x14ac:dyDescent="0.25"/>
    <row r="827" ht="12.75" customHeight="1" x14ac:dyDescent="0.25"/>
    <row r="828" ht="12.75" customHeight="1" x14ac:dyDescent="0.25"/>
    <row r="829" ht="12.75" customHeight="1" x14ac:dyDescent="0.25"/>
    <row r="830" ht="12.75" customHeight="1" x14ac:dyDescent="0.25"/>
    <row r="831" ht="12.75" customHeight="1" x14ac:dyDescent="0.25"/>
    <row r="832" ht="12.75" customHeight="1" x14ac:dyDescent="0.25"/>
    <row r="833" ht="12.75" customHeight="1" x14ac:dyDescent="0.25"/>
    <row r="834" ht="12.75" customHeight="1" x14ac:dyDescent="0.25"/>
    <row r="835" ht="12.75" customHeight="1" x14ac:dyDescent="0.25"/>
    <row r="836" ht="12.75" customHeight="1" x14ac:dyDescent="0.25"/>
    <row r="837" ht="12.75" customHeight="1" x14ac:dyDescent="0.25"/>
    <row r="838" ht="12.75" customHeight="1" x14ac:dyDescent="0.25"/>
    <row r="839" ht="12.75" customHeight="1" x14ac:dyDescent="0.25"/>
    <row r="840" ht="12.75" customHeight="1" x14ac:dyDescent="0.25"/>
    <row r="841" ht="12.75" customHeight="1" x14ac:dyDescent="0.25"/>
    <row r="842" ht="12.75" customHeight="1" x14ac:dyDescent="0.25"/>
    <row r="843" ht="12.75" customHeight="1" x14ac:dyDescent="0.25"/>
    <row r="844" ht="12.75" customHeight="1" x14ac:dyDescent="0.25"/>
    <row r="845" ht="12.75" customHeight="1" x14ac:dyDescent="0.25"/>
    <row r="846" ht="12.75" customHeight="1" x14ac:dyDescent="0.25"/>
    <row r="847" ht="12.75" customHeight="1" x14ac:dyDescent="0.25"/>
    <row r="848" ht="12.75" customHeight="1" x14ac:dyDescent="0.25"/>
    <row r="849" ht="12.75" customHeight="1" x14ac:dyDescent="0.25"/>
    <row r="850" ht="12.75" customHeight="1" x14ac:dyDescent="0.25"/>
    <row r="851" ht="12.75" customHeight="1" x14ac:dyDescent="0.25"/>
    <row r="852" ht="12.75" customHeight="1" x14ac:dyDescent="0.25"/>
    <row r="853" ht="12.75" customHeight="1" x14ac:dyDescent="0.25"/>
    <row r="854" ht="12.75" customHeight="1" x14ac:dyDescent="0.25"/>
    <row r="855" ht="12.75" customHeight="1" x14ac:dyDescent="0.25"/>
    <row r="856" ht="12.75" customHeight="1" x14ac:dyDescent="0.25"/>
    <row r="857" ht="12.75" customHeight="1" x14ac:dyDescent="0.25"/>
    <row r="858" ht="12.75" customHeight="1" x14ac:dyDescent="0.25"/>
    <row r="859" ht="12.75" customHeight="1" x14ac:dyDescent="0.25"/>
    <row r="860" ht="12.75" customHeight="1" x14ac:dyDescent="0.25"/>
    <row r="861" ht="12.75" customHeight="1" x14ac:dyDescent="0.25"/>
    <row r="862" ht="12.75" customHeight="1" x14ac:dyDescent="0.25"/>
    <row r="863" ht="12.75" customHeight="1" x14ac:dyDescent="0.25"/>
    <row r="864" ht="12.75" customHeight="1" x14ac:dyDescent="0.25"/>
    <row r="865" ht="12.75" customHeight="1" x14ac:dyDescent="0.25"/>
    <row r="866" ht="12.75" customHeight="1" x14ac:dyDescent="0.25"/>
    <row r="867" ht="12.75" customHeight="1" x14ac:dyDescent="0.25"/>
    <row r="868" ht="12.75" customHeight="1" x14ac:dyDescent="0.25"/>
    <row r="869" ht="12.75" customHeight="1" x14ac:dyDescent="0.25"/>
    <row r="870" ht="12.75" customHeight="1" x14ac:dyDescent="0.25"/>
    <row r="871" ht="12.75" customHeight="1" x14ac:dyDescent="0.25"/>
    <row r="872" ht="12.75" customHeight="1" x14ac:dyDescent="0.25"/>
    <row r="873" ht="12.75" customHeight="1" x14ac:dyDescent="0.25"/>
    <row r="874" ht="12.75" customHeight="1" x14ac:dyDescent="0.25"/>
    <row r="875" ht="12.75" customHeight="1" x14ac:dyDescent="0.25"/>
    <row r="876" ht="12.75" customHeight="1" x14ac:dyDescent="0.25"/>
    <row r="877" ht="12.75" customHeight="1" x14ac:dyDescent="0.25"/>
    <row r="878" ht="12.75" customHeight="1" x14ac:dyDescent="0.25"/>
    <row r="879" ht="12.75" customHeight="1" x14ac:dyDescent="0.25"/>
    <row r="880" ht="12.75" customHeight="1" x14ac:dyDescent="0.25"/>
    <row r="881" ht="12.75" customHeight="1" x14ac:dyDescent="0.25"/>
    <row r="882" ht="12.75" customHeight="1" x14ac:dyDescent="0.25"/>
    <row r="883" ht="12.75" customHeight="1" x14ac:dyDescent="0.25"/>
    <row r="884" ht="12.75" customHeight="1" x14ac:dyDescent="0.25"/>
    <row r="885" ht="12.75" customHeight="1" x14ac:dyDescent="0.25"/>
    <row r="886" ht="12.75" customHeight="1" x14ac:dyDescent="0.25"/>
    <row r="887" ht="12.75" customHeight="1" x14ac:dyDescent="0.25"/>
    <row r="888" ht="12.75" customHeight="1" x14ac:dyDescent="0.25"/>
    <row r="889" ht="12.75" customHeight="1" x14ac:dyDescent="0.25"/>
    <row r="890" ht="12.75" customHeight="1" x14ac:dyDescent="0.25"/>
    <row r="891" ht="12.75" customHeight="1" x14ac:dyDescent="0.25"/>
    <row r="892" ht="12.75" customHeight="1" x14ac:dyDescent="0.25"/>
    <row r="893" ht="12.75" customHeight="1" x14ac:dyDescent="0.25"/>
    <row r="894" ht="12.75" customHeight="1" x14ac:dyDescent="0.25"/>
    <row r="895" ht="12.75" customHeight="1" x14ac:dyDescent="0.25"/>
    <row r="896" ht="12.75" customHeight="1" x14ac:dyDescent="0.25"/>
    <row r="897" ht="12.75" customHeight="1" x14ac:dyDescent="0.25"/>
    <row r="898" ht="12.75" customHeight="1" x14ac:dyDescent="0.25"/>
    <row r="899" ht="12.75" customHeight="1" x14ac:dyDescent="0.25"/>
    <row r="900" ht="12.75" customHeight="1" x14ac:dyDescent="0.25"/>
    <row r="901" ht="12.75" customHeight="1" x14ac:dyDescent="0.25"/>
    <row r="902" ht="12.75" customHeight="1" x14ac:dyDescent="0.25"/>
    <row r="903" ht="12.75" customHeight="1" x14ac:dyDescent="0.25"/>
    <row r="904" ht="12.75" customHeight="1" x14ac:dyDescent="0.25"/>
    <row r="905" ht="12.75" customHeight="1" x14ac:dyDescent="0.25"/>
    <row r="906" ht="12.75" customHeight="1" x14ac:dyDescent="0.25"/>
    <row r="907" ht="12.75" customHeight="1" x14ac:dyDescent="0.25"/>
    <row r="908" ht="12.75" customHeight="1" x14ac:dyDescent="0.25"/>
    <row r="909" ht="12.75" customHeight="1" x14ac:dyDescent="0.25"/>
    <row r="910" ht="12.75" customHeight="1" x14ac:dyDescent="0.25"/>
    <row r="911" ht="12.75" customHeight="1" x14ac:dyDescent="0.25"/>
    <row r="912" ht="12.75" customHeight="1" x14ac:dyDescent="0.25"/>
    <row r="913" ht="12.75" customHeight="1" x14ac:dyDescent="0.25"/>
    <row r="914" ht="12.75" customHeight="1" x14ac:dyDescent="0.25"/>
    <row r="915" ht="12.75" customHeight="1" x14ac:dyDescent="0.25"/>
    <row r="916" ht="12.75" customHeight="1" x14ac:dyDescent="0.25"/>
    <row r="917" ht="12.75" customHeight="1" x14ac:dyDescent="0.25"/>
    <row r="918" ht="12.75" customHeight="1" x14ac:dyDescent="0.25"/>
    <row r="919" ht="12.75" customHeight="1" x14ac:dyDescent="0.25"/>
    <row r="920" ht="12.75" customHeight="1" x14ac:dyDescent="0.25"/>
    <row r="921" ht="12.75" customHeight="1" x14ac:dyDescent="0.25"/>
    <row r="922" ht="12.75" customHeight="1" x14ac:dyDescent="0.25"/>
    <row r="923" ht="12.75" customHeight="1" x14ac:dyDescent="0.25"/>
    <row r="924" ht="12.75" customHeight="1" x14ac:dyDescent="0.25"/>
    <row r="925" ht="12.75" customHeight="1" x14ac:dyDescent="0.25"/>
    <row r="926" ht="12.75" customHeight="1" x14ac:dyDescent="0.25"/>
    <row r="927" ht="12.75" customHeight="1" x14ac:dyDescent="0.25"/>
    <row r="928" ht="12.75" customHeight="1" x14ac:dyDescent="0.25"/>
    <row r="929" ht="12.75" customHeight="1" x14ac:dyDescent="0.25"/>
    <row r="930" ht="12.75" customHeight="1" x14ac:dyDescent="0.25"/>
    <row r="931" ht="12.75" customHeight="1" x14ac:dyDescent="0.25"/>
    <row r="932" ht="12.75" customHeight="1" x14ac:dyDescent="0.25"/>
    <row r="933" ht="12.75" customHeight="1" x14ac:dyDescent="0.25"/>
    <row r="934" ht="12.75" customHeight="1" x14ac:dyDescent="0.25"/>
    <row r="935" ht="12.75" customHeight="1" x14ac:dyDescent="0.25"/>
    <row r="936" ht="12.75" customHeight="1" x14ac:dyDescent="0.25"/>
    <row r="937" ht="12.75" customHeight="1" x14ac:dyDescent="0.25"/>
    <row r="938" ht="12.75" customHeight="1" x14ac:dyDescent="0.25"/>
    <row r="939" ht="12.75" customHeight="1" x14ac:dyDescent="0.25"/>
    <row r="940" ht="12.75" customHeight="1" x14ac:dyDescent="0.25"/>
    <row r="941" ht="12.75" customHeight="1" x14ac:dyDescent="0.25"/>
    <row r="942" ht="12.75" customHeight="1" x14ac:dyDescent="0.25"/>
    <row r="943" ht="12.75" customHeight="1" x14ac:dyDescent="0.25"/>
    <row r="944" ht="12.75" customHeight="1" x14ac:dyDescent="0.25"/>
    <row r="945" ht="12.75" customHeight="1" x14ac:dyDescent="0.25"/>
    <row r="946" ht="12.75" customHeight="1" x14ac:dyDescent="0.25"/>
    <row r="947" ht="12.75" customHeight="1" x14ac:dyDescent="0.25"/>
    <row r="948" ht="12.75" customHeight="1" x14ac:dyDescent="0.25"/>
    <row r="949" ht="12.75" customHeight="1" x14ac:dyDescent="0.25"/>
    <row r="950" ht="12.75" customHeight="1" x14ac:dyDescent="0.25"/>
    <row r="951" ht="12.75" customHeight="1" x14ac:dyDescent="0.25"/>
    <row r="952" ht="12.75" customHeight="1" x14ac:dyDescent="0.25"/>
    <row r="953" ht="12.75" customHeight="1" x14ac:dyDescent="0.25"/>
    <row r="954" ht="12.75" customHeight="1" x14ac:dyDescent="0.25"/>
    <row r="955" ht="12.75" customHeight="1" x14ac:dyDescent="0.25"/>
    <row r="956" ht="12.75" customHeight="1" x14ac:dyDescent="0.25"/>
    <row r="957" ht="12.75" customHeight="1" x14ac:dyDescent="0.25"/>
    <row r="958" ht="12.75" customHeight="1" x14ac:dyDescent="0.25"/>
    <row r="959" ht="12.75" customHeight="1" x14ac:dyDescent="0.25"/>
    <row r="960" ht="12.75" customHeight="1" x14ac:dyDescent="0.25"/>
    <row r="961" ht="12.75" customHeight="1" x14ac:dyDescent="0.25"/>
    <row r="962" ht="12.75" customHeight="1" x14ac:dyDescent="0.25"/>
    <row r="963" ht="12.75" customHeight="1" x14ac:dyDescent="0.25"/>
    <row r="964" ht="12.75" customHeight="1" x14ac:dyDescent="0.25"/>
    <row r="965" ht="12.75" customHeight="1" x14ac:dyDescent="0.25"/>
    <row r="966" ht="12.75" customHeight="1" x14ac:dyDescent="0.25"/>
    <row r="967" ht="12.75" customHeight="1" x14ac:dyDescent="0.25"/>
    <row r="968" ht="12.75" customHeight="1" x14ac:dyDescent="0.25"/>
    <row r="969" ht="12.75" customHeight="1" x14ac:dyDescent="0.25"/>
    <row r="970" ht="12.75" customHeight="1" x14ac:dyDescent="0.25"/>
    <row r="971" ht="12.75" customHeight="1" x14ac:dyDescent="0.25"/>
    <row r="972" ht="12.75" customHeight="1" x14ac:dyDescent="0.25"/>
    <row r="973" ht="12.75" customHeight="1" x14ac:dyDescent="0.25"/>
  </sheetData>
  <autoFilter ref="A1:AD171" xr:uid="{00000000-0009-0000-0000-000000000000}">
    <sortState xmlns:xlrd2="http://schemas.microsoft.com/office/spreadsheetml/2017/richdata2" ref="A2:AD171">
      <sortCondition ref="A1:A149"/>
    </sortState>
  </autoFilter>
  <pageMargins left="0.25" right="0.13" top="0.74803149606299213" bottom="0.74803149606299213" header="0" footer="0"/>
  <pageSetup paperSize="9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DATOS FINALES EFICIENCIAS_MAR26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Juan Francisco Riccobelli</dc:creator>
  <cp:lastModifiedBy>Juan Francisco Riccobelli</cp:lastModifiedBy>
  <dcterms:created xsi:type="dcterms:W3CDTF">2026-03-31T11:06:01Z</dcterms:created>
  <dcterms:modified xsi:type="dcterms:W3CDTF">2026-04-24T13:13:36Z</dcterms:modified>
</cp:coreProperties>
</file>