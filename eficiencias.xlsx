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ROPORTE MARZO 2026\"/>
    </mc:Choice>
  </mc:AlternateContent>
  <xr:revisionPtr revIDLastSave="0" documentId="8_{80C0EB94-801C-43B8-9CA8-90B18932F7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EFICIENCIAS_MAR26'!$A$1:$AB$142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P142" i="1" l="1"/>
  <c r="M142" i="1"/>
  <c r="K142" i="1" s="1"/>
  <c r="I142" i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K138" i="1"/>
  <c r="I138" i="1"/>
  <c r="N138" i="1" s="1"/>
  <c r="P137" i="1"/>
  <c r="K137" i="1"/>
  <c r="I137" i="1"/>
  <c r="P136" i="1"/>
  <c r="K136" i="1"/>
  <c r="I136" i="1"/>
  <c r="P123" i="1"/>
  <c r="M123" i="1"/>
  <c r="N123" i="1" s="1"/>
  <c r="P116" i="1"/>
  <c r="N116" i="1"/>
  <c r="K116" i="1"/>
  <c r="O116" i="1" s="1"/>
  <c r="P111" i="1"/>
  <c r="N111" i="1"/>
  <c r="K111" i="1"/>
  <c r="O111" i="1" s="1"/>
  <c r="P110" i="1"/>
  <c r="M110" i="1"/>
  <c r="N110" i="1" s="1"/>
  <c r="P131" i="1"/>
  <c r="M131" i="1"/>
  <c r="K131" i="1"/>
  <c r="I131" i="1"/>
  <c r="G131" i="1"/>
  <c r="P130" i="1"/>
  <c r="M130" i="1"/>
  <c r="K130" i="1" s="1"/>
  <c r="I130" i="1"/>
  <c r="O130" i="1" s="1"/>
  <c r="P129" i="1"/>
  <c r="M129" i="1"/>
  <c r="K129" i="1"/>
  <c r="I129" i="1"/>
  <c r="P128" i="1"/>
  <c r="M128" i="1"/>
  <c r="K128" i="1" s="1"/>
  <c r="I128" i="1"/>
  <c r="N128" i="1" s="1"/>
  <c r="P127" i="1"/>
  <c r="M127" i="1"/>
  <c r="K127" i="1" s="1"/>
  <c r="I127" i="1"/>
  <c r="N127" i="1" s="1"/>
  <c r="P126" i="1"/>
  <c r="M126" i="1"/>
  <c r="K126" i="1" s="1"/>
  <c r="I126" i="1"/>
  <c r="N126" i="1" s="1"/>
  <c r="P125" i="1"/>
  <c r="M125" i="1"/>
  <c r="K125" i="1"/>
  <c r="I125" i="1"/>
  <c r="N125" i="1" s="1"/>
  <c r="P124" i="1"/>
  <c r="M124" i="1"/>
  <c r="K124" i="1" s="1"/>
  <c r="I124" i="1"/>
  <c r="N124" i="1" s="1"/>
  <c r="P99" i="1"/>
  <c r="N99" i="1"/>
  <c r="K99" i="1"/>
  <c r="O99" i="1" s="1"/>
  <c r="P122" i="1"/>
  <c r="K122" i="1"/>
  <c r="I122" i="1"/>
  <c r="N122" i="1" s="1"/>
  <c r="P121" i="1"/>
  <c r="K121" i="1"/>
  <c r="I121" i="1"/>
  <c r="N121" i="1" s="1"/>
  <c r="P120" i="1"/>
  <c r="M120" i="1"/>
  <c r="K120" i="1"/>
  <c r="I120" i="1"/>
  <c r="N120" i="1" s="1"/>
  <c r="P119" i="1"/>
  <c r="M119" i="1"/>
  <c r="K119" i="1"/>
  <c r="I119" i="1"/>
  <c r="N119" i="1" s="1"/>
  <c r="P118" i="1"/>
  <c r="M118" i="1"/>
  <c r="K118" i="1" s="1"/>
  <c r="I118" i="1"/>
  <c r="N118" i="1" s="1"/>
  <c r="P117" i="1"/>
  <c r="M117" i="1"/>
  <c r="K117" i="1"/>
  <c r="I117" i="1"/>
  <c r="G117" i="1"/>
  <c r="P97" i="1"/>
  <c r="N97" i="1"/>
  <c r="M97" i="1"/>
  <c r="K97" i="1"/>
  <c r="O97" i="1" s="1"/>
  <c r="P115" i="1"/>
  <c r="M115" i="1"/>
  <c r="K115" i="1"/>
  <c r="I115" i="1"/>
  <c r="P114" i="1"/>
  <c r="M114" i="1"/>
  <c r="K114" i="1" s="1"/>
  <c r="I114" i="1"/>
  <c r="N114" i="1" s="1"/>
  <c r="P113" i="1"/>
  <c r="M113" i="1"/>
  <c r="K113" i="1" s="1"/>
  <c r="I113" i="1"/>
  <c r="N113" i="1" s="1"/>
  <c r="P112" i="1"/>
  <c r="M112" i="1"/>
  <c r="K112" i="1"/>
  <c r="I112" i="1"/>
  <c r="O112" i="1" s="1"/>
  <c r="P96" i="1"/>
  <c r="N96" i="1"/>
  <c r="K96" i="1"/>
  <c r="O96" i="1" s="1"/>
  <c r="P95" i="1"/>
  <c r="N95" i="1"/>
  <c r="K95" i="1"/>
  <c r="O95" i="1" s="1"/>
  <c r="P109" i="1"/>
  <c r="M109" i="1"/>
  <c r="N109" i="1" s="1"/>
  <c r="K109" i="1"/>
  <c r="O109" i="1" s="1"/>
  <c r="P108" i="1"/>
  <c r="M108" i="1"/>
  <c r="N108" i="1" s="1"/>
  <c r="P107" i="1"/>
  <c r="N107" i="1"/>
  <c r="M107" i="1"/>
  <c r="K107" i="1" s="1"/>
  <c r="O107" i="1" s="1"/>
  <c r="P106" i="1"/>
  <c r="N106" i="1"/>
  <c r="M106" i="1"/>
  <c r="K106" i="1"/>
  <c r="O106" i="1" s="1"/>
  <c r="P105" i="1"/>
  <c r="N105" i="1"/>
  <c r="M105" i="1"/>
  <c r="K105" i="1"/>
  <c r="O105" i="1" s="1"/>
  <c r="P104" i="1"/>
  <c r="M104" i="1"/>
  <c r="N104" i="1" s="1"/>
  <c r="P103" i="1"/>
  <c r="N103" i="1"/>
  <c r="M103" i="1"/>
  <c r="K103" i="1" s="1"/>
  <c r="O103" i="1" s="1"/>
  <c r="P102" i="1"/>
  <c r="K102" i="1"/>
  <c r="I102" i="1"/>
  <c r="N102" i="1" s="1"/>
  <c r="P101" i="1"/>
  <c r="K101" i="1"/>
  <c r="I101" i="1"/>
  <c r="N101" i="1" s="1"/>
  <c r="P100" i="1"/>
  <c r="K100" i="1"/>
  <c r="I100" i="1"/>
  <c r="P94" i="1"/>
  <c r="N94" i="1"/>
  <c r="K94" i="1"/>
  <c r="O94" i="1" s="1"/>
  <c r="P98" i="1"/>
  <c r="K98" i="1"/>
  <c r="I98" i="1"/>
  <c r="N98" i="1" s="1"/>
  <c r="P93" i="1"/>
  <c r="N93" i="1"/>
  <c r="M93" i="1"/>
  <c r="K93" i="1"/>
  <c r="O93" i="1" s="1"/>
  <c r="P92" i="1"/>
  <c r="N92" i="1"/>
  <c r="K92" i="1"/>
  <c r="O92" i="1" s="1"/>
  <c r="P91" i="1"/>
  <c r="N91" i="1"/>
  <c r="K91" i="1"/>
  <c r="O91" i="1" s="1"/>
  <c r="P82" i="1"/>
  <c r="N82" i="1"/>
  <c r="K82" i="1"/>
  <c r="O82" i="1" s="1"/>
  <c r="P81" i="1"/>
  <c r="M81" i="1"/>
  <c r="N81" i="1" s="1"/>
  <c r="P70" i="1"/>
  <c r="N70" i="1"/>
  <c r="K70" i="1"/>
  <c r="O70" i="1" s="1"/>
  <c r="P68" i="1"/>
  <c r="N68" i="1"/>
  <c r="K68" i="1"/>
  <c r="O68" i="1" s="1"/>
  <c r="P90" i="1"/>
  <c r="K90" i="1"/>
  <c r="I90" i="1"/>
  <c r="N90" i="1" s="1"/>
  <c r="G90" i="1"/>
  <c r="P89" i="1"/>
  <c r="K89" i="1"/>
  <c r="I89" i="1"/>
  <c r="P88" i="1"/>
  <c r="K88" i="1"/>
  <c r="I88" i="1"/>
  <c r="P87" i="1"/>
  <c r="K87" i="1"/>
  <c r="I87" i="1"/>
  <c r="N87" i="1" s="1"/>
  <c r="P86" i="1"/>
  <c r="K86" i="1"/>
  <c r="I86" i="1"/>
  <c r="P85" i="1"/>
  <c r="K85" i="1"/>
  <c r="I85" i="1"/>
  <c r="N85" i="1" s="1"/>
  <c r="P84" i="1"/>
  <c r="K84" i="1"/>
  <c r="I84" i="1"/>
  <c r="N84" i="1" s="1"/>
  <c r="P83" i="1"/>
  <c r="K83" i="1"/>
  <c r="I83" i="1"/>
  <c r="N83" i="1" s="1"/>
  <c r="P67" i="1"/>
  <c r="N67" i="1"/>
  <c r="K67" i="1"/>
  <c r="O67" i="1" s="1"/>
  <c r="P66" i="1"/>
  <c r="N66" i="1"/>
  <c r="K66" i="1"/>
  <c r="O66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P63" i="1"/>
  <c r="M63" i="1"/>
  <c r="N63" i="1" s="1"/>
  <c r="P69" i="1"/>
  <c r="K69" i="1"/>
  <c r="I69" i="1"/>
  <c r="N69" i="1" s="1"/>
  <c r="P62" i="1"/>
  <c r="N62" i="1"/>
  <c r="K62" i="1"/>
  <c r="O62" i="1" s="1"/>
  <c r="P46" i="1"/>
  <c r="N46" i="1"/>
  <c r="K46" i="1"/>
  <c r="O46" i="1" s="1"/>
  <c r="P45" i="1"/>
  <c r="N45" i="1"/>
  <c r="K45" i="1"/>
  <c r="O45" i="1" s="1"/>
  <c r="P65" i="1"/>
  <c r="M65" i="1"/>
  <c r="K65" i="1"/>
  <c r="G65" i="1"/>
  <c r="I65" i="1" s="1"/>
  <c r="P64" i="1"/>
  <c r="M64" i="1"/>
  <c r="K64" i="1"/>
  <c r="G64" i="1"/>
  <c r="I64" i="1" s="1"/>
  <c r="P135" i="1"/>
  <c r="M135" i="1"/>
  <c r="N135" i="1" s="1"/>
  <c r="P34" i="1"/>
  <c r="N34" i="1"/>
  <c r="K34" i="1"/>
  <c r="O34" i="1" s="1"/>
  <c r="P61" i="1"/>
  <c r="N61" i="1"/>
  <c r="K61" i="1"/>
  <c r="O61" i="1" s="1"/>
  <c r="P60" i="1"/>
  <c r="K60" i="1"/>
  <c r="I60" i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N55" i="1" s="1"/>
  <c r="P54" i="1"/>
  <c r="K54" i="1"/>
  <c r="I54" i="1"/>
  <c r="N54" i="1" s="1"/>
  <c r="P53" i="1"/>
  <c r="K53" i="1"/>
  <c r="I53" i="1"/>
  <c r="O53" i="1" s="1"/>
  <c r="P52" i="1"/>
  <c r="K52" i="1"/>
  <c r="I52" i="1"/>
  <c r="P51" i="1"/>
  <c r="K51" i="1"/>
  <c r="I51" i="1"/>
  <c r="N51" i="1" s="1"/>
  <c r="P50" i="1"/>
  <c r="K50" i="1"/>
  <c r="I50" i="1"/>
  <c r="N50" i="1" s="1"/>
  <c r="P49" i="1"/>
  <c r="K49" i="1"/>
  <c r="I49" i="1"/>
  <c r="P48" i="1"/>
  <c r="N48" i="1"/>
  <c r="K48" i="1"/>
  <c r="O48" i="1" s="1"/>
  <c r="P47" i="1"/>
  <c r="K47" i="1"/>
  <c r="I47" i="1"/>
  <c r="P134" i="1"/>
  <c r="N134" i="1"/>
  <c r="K134" i="1"/>
  <c r="O134" i="1" s="1"/>
  <c r="P133" i="1"/>
  <c r="N133" i="1"/>
  <c r="K133" i="1"/>
  <c r="O133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2" i="1"/>
  <c r="N132" i="1"/>
  <c r="K132" i="1"/>
  <c r="O132" i="1" s="1"/>
  <c r="P33" i="1"/>
  <c r="K33" i="1"/>
  <c r="I33" i="1"/>
  <c r="N33" i="1" s="1"/>
  <c r="P32" i="1"/>
  <c r="K32" i="1"/>
  <c r="I32" i="1"/>
  <c r="O32" i="1" s="1"/>
  <c r="G32" i="1"/>
  <c r="P31" i="1"/>
  <c r="K31" i="1"/>
  <c r="I31" i="1"/>
  <c r="P30" i="1"/>
  <c r="K30" i="1"/>
  <c r="I30" i="1"/>
  <c r="N30" i="1" s="1"/>
  <c r="P29" i="1"/>
  <c r="K29" i="1"/>
  <c r="I29" i="1"/>
  <c r="N29" i="1" s="1"/>
  <c r="P28" i="1"/>
  <c r="K28" i="1"/>
  <c r="I28" i="1"/>
  <c r="P27" i="1"/>
  <c r="K27" i="1"/>
  <c r="I27" i="1"/>
  <c r="O27" i="1" s="1"/>
  <c r="P26" i="1"/>
  <c r="K26" i="1"/>
  <c r="I26" i="1"/>
  <c r="P25" i="1"/>
  <c r="K25" i="1"/>
  <c r="I25" i="1"/>
  <c r="P24" i="1"/>
  <c r="N24" i="1"/>
  <c r="M24" i="1"/>
  <c r="K24" i="1" s="1"/>
  <c r="O24" i="1" s="1"/>
  <c r="F24" i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M20" i="1"/>
  <c r="N20" i="1" s="1"/>
  <c r="F20" i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N9" i="1"/>
  <c r="K9" i="1"/>
  <c r="O9" i="1" s="1"/>
  <c r="P8" i="1"/>
  <c r="K8" i="1"/>
  <c r="I8" i="1"/>
  <c r="P7" i="1"/>
  <c r="K7" i="1"/>
  <c r="I7" i="1"/>
  <c r="P6" i="1"/>
  <c r="N6" i="1"/>
  <c r="K6" i="1"/>
  <c r="O6" i="1" s="1"/>
  <c r="P5" i="1"/>
  <c r="K5" i="1"/>
  <c r="I5" i="1"/>
  <c r="O5" i="1" s="1"/>
  <c r="P4" i="1"/>
  <c r="N4" i="1"/>
  <c r="K4" i="1"/>
  <c r="O4" i="1" s="1"/>
  <c r="P3" i="1"/>
  <c r="K3" i="1"/>
  <c r="I3" i="1"/>
  <c r="P2" i="1"/>
  <c r="K2" i="1"/>
  <c r="I2" i="1"/>
  <c r="O3" i="1" l="1"/>
  <c r="O86" i="1"/>
  <c r="O2" i="1"/>
  <c r="O131" i="1"/>
  <c r="O35" i="1"/>
  <c r="O25" i="1"/>
  <c r="O73" i="1"/>
  <c r="O89" i="1"/>
  <c r="O115" i="1"/>
  <c r="O52" i="1"/>
  <c r="O137" i="1"/>
  <c r="O138" i="1"/>
  <c r="O124" i="1"/>
  <c r="O72" i="1"/>
  <c r="O140" i="1"/>
  <c r="O87" i="1"/>
  <c r="N112" i="1"/>
  <c r="O136" i="1"/>
  <c r="O128" i="1"/>
  <c r="O114" i="1"/>
  <c r="N53" i="1"/>
  <c r="N89" i="1"/>
  <c r="N35" i="1"/>
  <c r="O85" i="1"/>
  <c r="O54" i="1"/>
  <c r="N73" i="1"/>
  <c r="N25" i="1"/>
  <c r="O49" i="1"/>
  <c r="O71" i="1"/>
  <c r="O7" i="1"/>
  <c r="O98" i="1"/>
  <c r="O102" i="1"/>
  <c r="O26" i="1"/>
  <c r="O31" i="1"/>
  <c r="O120" i="1"/>
  <c r="O129" i="1"/>
  <c r="O8" i="1"/>
  <c r="O50" i="1"/>
  <c r="O139" i="1"/>
  <c r="O125" i="1"/>
  <c r="O113" i="1"/>
  <c r="O117" i="1"/>
  <c r="O90" i="1"/>
  <c r="O121" i="1"/>
  <c r="N86" i="1"/>
  <c r="O28" i="1"/>
  <c r="O55" i="1"/>
  <c r="O100" i="1"/>
  <c r="O126" i="1"/>
  <c r="N130" i="1"/>
  <c r="O33" i="1"/>
  <c r="O37" i="1"/>
  <c r="O47" i="1"/>
  <c r="O51" i="1"/>
  <c r="O60" i="1"/>
  <c r="O69" i="1"/>
  <c r="O83" i="1"/>
  <c r="N100" i="1"/>
  <c r="O141" i="1"/>
  <c r="O36" i="1"/>
  <c r="O118" i="1"/>
  <c r="O56" i="1"/>
  <c r="O88" i="1"/>
  <c r="O127" i="1"/>
  <c r="O30" i="1"/>
  <c r="O119" i="1"/>
  <c r="O64" i="1"/>
  <c r="N64" i="1"/>
  <c r="O65" i="1"/>
  <c r="N65" i="1"/>
  <c r="O142" i="1"/>
  <c r="O57" i="1"/>
  <c r="N57" i="1"/>
  <c r="K63" i="1"/>
  <c r="O63" i="1" s="1"/>
  <c r="O84" i="1"/>
  <c r="O101" i="1"/>
  <c r="K108" i="1"/>
  <c r="O108" i="1" s="1"/>
  <c r="O122" i="1"/>
  <c r="N137" i="1"/>
  <c r="N32" i="1"/>
  <c r="N60" i="1"/>
  <c r="N140" i="1"/>
  <c r="N26" i="1"/>
  <c r="O29" i="1"/>
  <c r="N47" i="1"/>
  <c r="N88" i="1"/>
  <c r="N117" i="1"/>
  <c r="N8" i="1"/>
  <c r="K20" i="1"/>
  <c r="O20" i="1" s="1"/>
  <c r="N131" i="1"/>
  <c r="K123" i="1"/>
  <c r="O123" i="1" s="1"/>
  <c r="N5" i="1"/>
  <c r="N7" i="1"/>
  <c r="N27" i="1"/>
  <c r="N71" i="1"/>
  <c r="N115" i="1"/>
  <c r="N129" i="1"/>
  <c r="K110" i="1"/>
  <c r="O110" i="1" s="1"/>
  <c r="N141" i="1"/>
  <c r="N2" i="1"/>
  <c r="K81" i="1"/>
  <c r="O81" i="1" s="1"/>
  <c r="N52" i="1"/>
  <c r="N31" i="1"/>
  <c r="N49" i="1"/>
  <c r="N136" i="1"/>
  <c r="N139" i="1"/>
  <c r="N28" i="1"/>
  <c r="K135" i="1"/>
  <c r="O135" i="1" s="1"/>
  <c r="K104" i="1"/>
  <c r="O104" i="1" s="1"/>
  <c r="N3" i="1"/>
  <c r="N142" i="1"/>
</calcChain>
</file>

<file path=xl/sharedStrings.xml><?xml version="1.0" encoding="utf-8"?>
<sst xmlns="http://schemas.openxmlformats.org/spreadsheetml/2006/main" count="593" uniqueCount="90">
  <si>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</si>
  <si>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</si>
  <si>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</si>
  <si>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</si>
  <si>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</si>
  <si>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</si>
  <si>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</si>
  <si>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</si>
  <si>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</si>
  <si>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</si>
  <si>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</si>
  <si>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</si>
  <si>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</si>
  <si>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</si>
  <si>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</si>
  <si>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</si>
  <si>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</si>
  <si>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ÁREA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</si>
  <si>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</si>
  <si>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</si>
  <si>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</si>
  <si>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</si>
  <si>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</si>
  <si>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</si>
  <si>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</si>
  <si>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</si>
  <si>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ANEXO REM. 1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</si>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</sst>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sz val="10"/>
      <color theme="0"/>
      <name val="Arial"/>
    </font>
    <font>
      <b/>
      <sz val="11"/>
      <color theme="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7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2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/>
    <xf numFmtId="2" fontId="4" fillId="0" borderId="2" xfId="0" applyNumberFormat="1" applyFont="1" applyBorder="1" applyAlignment="1">
      <alignment horizontal="center"/>
    </xf>
    <xf numFmtId="3" fontId="4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1" fontId="4" fillId="0" borderId="3" xfId="0" applyNumberFormat="1" applyFont="1" applyBorder="1"/>
    <xf numFmtId="0" fontId="3" fillId="0" borderId="3" xfId="0" applyFont="1" applyBorder="1" applyAlignment="1">
      <alignment horizontal="center"/>
    </xf>
    <xf numFmtId="17" fontId="4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right"/>
    </xf>
    <xf numFmtId="0" fontId="4" fillId="0" borderId="0" xfId="0" applyFont="1"/>
    <xf numFmtId="0" fontId="10" fillId="0" borderId="0" xfId="0" applyFont="1" applyAlignment="1">
      <alignment horizontal="center"/>
    </xf>
    <xf numFmtId="0" fontId="9" fillId="0" borderId="0" xfId="0" applyFont="1"/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1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B972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44" sqref="P144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3.218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7.88671875" customWidth="1"/>
    <col min="17" max="17" width="37.6640625" customWidth="1"/>
  </cols>
  <sheetData>
    <row r="1" spans="1:28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31" t="s">
        <v>15</v>
      </c>
      <c r="Q1" s="2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2.75" customHeight="1" x14ac:dyDescent="0.25">
      <c r="A2" s="7">
        <v>45992</v>
      </c>
      <c r="B2" s="8" t="s">
        <v>17</v>
      </c>
      <c r="C2" s="8" t="s">
        <v>18</v>
      </c>
      <c r="D2" s="8" t="s">
        <v>19</v>
      </c>
      <c r="E2" s="8" t="s">
        <v>20</v>
      </c>
      <c r="F2" s="8">
        <v>5</v>
      </c>
      <c r="G2" s="9"/>
      <c r="H2" s="9"/>
      <c r="I2" s="10">
        <f t="shared" ref="I2:I3" si="0">(G2*F2)+0.25*F2</f>
        <v>1.25</v>
      </c>
      <c r="J2" s="8">
        <v>36</v>
      </c>
      <c r="K2" s="8">
        <f t="shared" ref="K2:K142" si="1">J2+ABS(M2-(J2+L2))</f>
        <v>46</v>
      </c>
      <c r="L2" s="8">
        <v>96</v>
      </c>
      <c r="M2" s="8">
        <v>142</v>
      </c>
      <c r="N2" s="11">
        <f t="shared" ref="N2:N142" si="2">+I2/M2</f>
        <v>8.8028169014084511E-3</v>
      </c>
      <c r="O2" s="11">
        <f t="shared" ref="O2:O142" si="3">+I2/K2</f>
        <v>2.717391304347826E-2</v>
      </c>
      <c r="P2" s="12">
        <f t="shared" ref="P2:P142" si="4">+L2*22000</f>
        <v>2112000</v>
      </c>
      <c r="Q2" s="8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2.75" customHeight="1" x14ac:dyDescent="0.25">
      <c r="A3" s="7">
        <v>45992</v>
      </c>
      <c r="B3" s="8" t="s">
        <v>17</v>
      </c>
      <c r="C3" s="8" t="s">
        <v>18</v>
      </c>
      <c r="D3" s="8" t="s">
        <v>21</v>
      </c>
      <c r="E3" s="8" t="s">
        <v>22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>
        <v>144</v>
      </c>
      <c r="N3" s="11">
        <f t="shared" si="2"/>
        <v>1.3888888888888888E-2</v>
      </c>
      <c r="O3" s="11">
        <f t="shared" si="3"/>
        <v>1.680672268907563E-2</v>
      </c>
      <c r="P3" s="12">
        <f t="shared" si="4"/>
        <v>550000</v>
      </c>
      <c r="Q3" s="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2.75" customHeight="1" x14ac:dyDescent="0.25">
      <c r="A4" s="7">
        <v>46023</v>
      </c>
      <c r="B4" s="8" t="s">
        <v>17</v>
      </c>
      <c r="C4" s="8" t="s">
        <v>18</v>
      </c>
      <c r="D4" s="8" t="s">
        <v>21</v>
      </c>
      <c r="E4" s="8" t="s">
        <v>22</v>
      </c>
      <c r="F4" s="8">
        <v>3</v>
      </c>
      <c r="G4" s="9"/>
      <c r="H4" s="9"/>
      <c r="I4" s="10">
        <v>48</v>
      </c>
      <c r="J4" s="8">
        <v>34</v>
      </c>
      <c r="K4" s="8">
        <f t="shared" si="1"/>
        <v>113</v>
      </c>
      <c r="L4" s="8">
        <v>3</v>
      </c>
      <c r="M4" s="8">
        <v>116</v>
      </c>
      <c r="N4" s="11">
        <f t="shared" si="2"/>
        <v>0.41379310344827586</v>
      </c>
      <c r="O4" s="11">
        <f t="shared" si="3"/>
        <v>0.4247787610619469</v>
      </c>
      <c r="P4" s="12">
        <f t="shared" si="4"/>
        <v>66000</v>
      </c>
      <c r="Q4" s="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2.75" customHeight="1" x14ac:dyDescent="0.25">
      <c r="A5" s="7">
        <v>45992</v>
      </c>
      <c r="B5" s="8" t="s">
        <v>17</v>
      </c>
      <c r="C5" s="8" t="s">
        <v>18</v>
      </c>
      <c r="D5" s="8" t="s">
        <v>23</v>
      </c>
      <c r="E5" s="8" t="s">
        <v>22</v>
      </c>
      <c r="F5" s="8">
        <v>5</v>
      </c>
      <c r="G5" s="9"/>
      <c r="H5" s="9"/>
      <c r="I5" s="10">
        <f>(G5*F5)+0.25*F5</f>
        <v>1.25</v>
      </c>
      <c r="J5" s="8">
        <v>235</v>
      </c>
      <c r="K5" s="8">
        <f t="shared" si="1"/>
        <v>252</v>
      </c>
      <c r="L5" s="8">
        <v>53</v>
      </c>
      <c r="M5" s="8">
        <v>305</v>
      </c>
      <c r="N5" s="11">
        <f t="shared" si="2"/>
        <v>4.0983606557377051E-3</v>
      </c>
      <c r="O5" s="11">
        <f t="shared" si="3"/>
        <v>4.96031746031746E-3</v>
      </c>
      <c r="P5" s="12">
        <f t="shared" si="4"/>
        <v>1166000</v>
      </c>
      <c r="Q5" s="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2.75" customHeight="1" x14ac:dyDescent="0.25">
      <c r="A6" s="7">
        <v>46023</v>
      </c>
      <c r="B6" s="8" t="s">
        <v>17</v>
      </c>
      <c r="C6" s="8" t="s">
        <v>18</v>
      </c>
      <c r="D6" s="8" t="s">
        <v>23</v>
      </c>
      <c r="E6" s="8" t="s">
        <v>22</v>
      </c>
      <c r="F6" s="8">
        <v>1</v>
      </c>
      <c r="G6" s="9"/>
      <c r="H6" s="9"/>
      <c r="I6" s="10">
        <v>0</v>
      </c>
      <c r="J6" s="8">
        <v>10</v>
      </c>
      <c r="K6" s="8">
        <f t="shared" si="1"/>
        <v>79</v>
      </c>
      <c r="L6" s="8">
        <v>74</v>
      </c>
      <c r="M6" s="8">
        <v>153</v>
      </c>
      <c r="N6" s="11">
        <f t="shared" si="2"/>
        <v>0</v>
      </c>
      <c r="O6" s="11">
        <f t="shared" si="3"/>
        <v>0</v>
      </c>
      <c r="P6" s="12">
        <f t="shared" si="4"/>
        <v>1628000</v>
      </c>
      <c r="Q6" s="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2.75" customHeight="1" x14ac:dyDescent="0.25">
      <c r="A7" s="7">
        <v>45992</v>
      </c>
      <c r="B7" s="8" t="s">
        <v>17</v>
      </c>
      <c r="C7" s="8" t="s">
        <v>18</v>
      </c>
      <c r="D7" s="8" t="s">
        <v>24</v>
      </c>
      <c r="E7" s="8" t="s">
        <v>20</v>
      </c>
      <c r="F7" s="8">
        <v>17</v>
      </c>
      <c r="G7" s="9"/>
      <c r="H7" s="9"/>
      <c r="I7" s="10">
        <f t="shared" ref="I7:I8" si="5">(G7*F7)+0.25*F7</f>
        <v>4.25</v>
      </c>
      <c r="J7" s="8">
        <v>76</v>
      </c>
      <c r="K7" s="8">
        <f t="shared" si="1"/>
        <v>89</v>
      </c>
      <c r="L7" s="8">
        <v>36</v>
      </c>
      <c r="M7" s="8">
        <v>99</v>
      </c>
      <c r="N7" s="11">
        <f t="shared" si="2"/>
        <v>4.2929292929292928E-2</v>
      </c>
      <c r="O7" s="11">
        <f t="shared" si="3"/>
        <v>4.7752808988764044E-2</v>
      </c>
      <c r="P7" s="12">
        <f t="shared" si="4"/>
        <v>792000</v>
      </c>
      <c r="Q7" s="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2.75" customHeight="1" x14ac:dyDescent="0.25">
      <c r="A8" s="7">
        <v>45992</v>
      </c>
      <c r="B8" s="8" t="s">
        <v>17</v>
      </c>
      <c r="C8" s="8" t="s">
        <v>18</v>
      </c>
      <c r="D8" s="8" t="s">
        <v>25</v>
      </c>
      <c r="E8" s="8" t="s">
        <v>20</v>
      </c>
      <c r="F8" s="8">
        <v>6</v>
      </c>
      <c r="G8" s="9"/>
      <c r="H8" s="9"/>
      <c r="I8" s="10">
        <f t="shared" si="5"/>
        <v>1.5</v>
      </c>
      <c r="J8" s="8">
        <v>60</v>
      </c>
      <c r="K8" s="8">
        <f t="shared" si="1"/>
        <v>93</v>
      </c>
      <c r="L8" s="8">
        <v>16</v>
      </c>
      <c r="M8" s="8">
        <v>109</v>
      </c>
      <c r="N8" s="11">
        <f t="shared" si="2"/>
        <v>1.3761467889908258E-2</v>
      </c>
      <c r="O8" s="11">
        <f t="shared" si="3"/>
        <v>1.6129032258064516E-2</v>
      </c>
      <c r="P8" s="12">
        <f t="shared" si="4"/>
        <v>352000</v>
      </c>
      <c r="Q8" s="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2.75" customHeight="1" x14ac:dyDescent="0.25">
      <c r="A9" s="7">
        <v>46023</v>
      </c>
      <c r="B9" s="8" t="s">
        <v>17</v>
      </c>
      <c r="C9" s="8" t="s">
        <v>18</v>
      </c>
      <c r="D9" s="8" t="s">
        <v>25</v>
      </c>
      <c r="E9" s="8" t="s">
        <v>20</v>
      </c>
      <c r="F9" s="8">
        <v>5</v>
      </c>
      <c r="G9" s="9"/>
      <c r="H9" s="9"/>
      <c r="I9" s="10">
        <v>26</v>
      </c>
      <c r="J9" s="8">
        <v>45</v>
      </c>
      <c r="K9" s="8">
        <f t="shared" si="1"/>
        <v>78</v>
      </c>
      <c r="L9" s="8">
        <v>10</v>
      </c>
      <c r="M9" s="8">
        <v>88</v>
      </c>
      <c r="N9" s="11">
        <f t="shared" si="2"/>
        <v>0.29545454545454547</v>
      </c>
      <c r="O9" s="11">
        <f t="shared" si="3"/>
        <v>0.33333333333333331</v>
      </c>
      <c r="P9" s="12">
        <f t="shared" si="4"/>
        <v>220000</v>
      </c>
      <c r="Q9" s="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2.75" customHeight="1" x14ac:dyDescent="0.25">
      <c r="A10" s="7">
        <v>45992</v>
      </c>
      <c r="B10" s="8" t="s">
        <v>26</v>
      </c>
      <c r="C10" s="8" t="s">
        <v>27</v>
      </c>
      <c r="D10" s="8" t="s">
        <v>28</v>
      </c>
      <c r="E10" s="8" t="s">
        <v>20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>
        <v>177</v>
      </c>
      <c r="N10" s="11">
        <f t="shared" si="2"/>
        <v>0.7231638418079096</v>
      </c>
      <c r="O10" s="11">
        <f t="shared" si="3"/>
        <v>0.78048780487804881</v>
      </c>
      <c r="P10" s="12">
        <f t="shared" si="4"/>
        <v>286000</v>
      </c>
      <c r="Q10" s="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2.75" customHeight="1" x14ac:dyDescent="0.25">
      <c r="A11" s="7">
        <v>45992</v>
      </c>
      <c r="B11" s="8" t="s">
        <v>26</v>
      </c>
      <c r="C11" s="8" t="s">
        <v>27</v>
      </c>
      <c r="D11" s="8" t="s">
        <v>29</v>
      </c>
      <c r="E11" s="8" t="s">
        <v>20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>
        <v>172</v>
      </c>
      <c r="N11" s="11">
        <f t="shared" si="2"/>
        <v>0.5115116279069768</v>
      </c>
      <c r="O11" s="11">
        <f t="shared" si="3"/>
        <v>0.65170370370370378</v>
      </c>
      <c r="P11" s="12">
        <f t="shared" si="4"/>
        <v>814000</v>
      </c>
      <c r="Q11" s="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2.75" customHeight="1" x14ac:dyDescent="0.25">
      <c r="A12" s="7">
        <v>45992</v>
      </c>
      <c r="B12" s="8" t="s">
        <v>26</v>
      </c>
      <c r="C12" s="8" t="s">
        <v>27</v>
      </c>
      <c r="D12" s="8" t="s">
        <v>30</v>
      </c>
      <c r="E12" s="8" t="s">
        <v>20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>
        <v>96</v>
      </c>
      <c r="N12" s="11">
        <f t="shared" si="2"/>
        <v>0.67885416666666665</v>
      </c>
      <c r="O12" s="11">
        <f t="shared" si="3"/>
        <v>0.51722222222222225</v>
      </c>
      <c r="P12" s="12">
        <f t="shared" si="4"/>
        <v>0</v>
      </c>
      <c r="Q12" s="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2.75" customHeight="1" x14ac:dyDescent="0.25">
      <c r="A13" s="7">
        <v>45992</v>
      </c>
      <c r="B13" s="8" t="s">
        <v>26</v>
      </c>
      <c r="C13" s="8" t="s">
        <v>27</v>
      </c>
      <c r="D13" s="8" t="s">
        <v>31</v>
      </c>
      <c r="E13" s="8" t="s">
        <v>20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>
        <v>146</v>
      </c>
      <c r="N13" s="11">
        <f t="shared" si="2"/>
        <v>0.42294520547945208</v>
      </c>
      <c r="O13" s="11">
        <f t="shared" si="3"/>
        <v>0.50203252032520329</v>
      </c>
      <c r="P13" s="12">
        <f t="shared" si="4"/>
        <v>506000</v>
      </c>
      <c r="Q13" s="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2.75" customHeight="1" x14ac:dyDescent="0.25">
      <c r="A14" s="7">
        <v>45992</v>
      </c>
      <c r="B14" s="8" t="s">
        <v>26</v>
      </c>
      <c r="C14" s="8" t="s">
        <v>27</v>
      </c>
      <c r="D14" s="8" t="s">
        <v>32</v>
      </c>
      <c r="E14" s="8" t="s">
        <v>20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>
        <v>96</v>
      </c>
      <c r="N14" s="11">
        <f t="shared" si="2"/>
        <v>0.39999999999999997</v>
      </c>
      <c r="O14" s="11">
        <f t="shared" si="3"/>
        <v>0.52602739726027392</v>
      </c>
      <c r="P14" s="12">
        <f t="shared" si="4"/>
        <v>506000</v>
      </c>
      <c r="Q14" s="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2.75" customHeight="1" x14ac:dyDescent="0.25">
      <c r="A15" s="7">
        <v>45992</v>
      </c>
      <c r="B15" s="8" t="s">
        <v>26</v>
      </c>
      <c r="C15" s="8" t="s">
        <v>27</v>
      </c>
      <c r="D15" s="8" t="s">
        <v>33</v>
      </c>
      <c r="E15" s="8" t="s">
        <v>20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>
        <v>158</v>
      </c>
      <c r="N15" s="11">
        <f t="shared" si="2"/>
        <v>0.25063291139240507</v>
      </c>
      <c r="O15" s="11">
        <f t="shared" si="3"/>
        <v>0.76153846153846161</v>
      </c>
      <c r="P15" s="12">
        <f t="shared" si="4"/>
        <v>2332000</v>
      </c>
      <c r="Q15" s="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2.75" customHeight="1" x14ac:dyDescent="0.25">
      <c r="A16" s="7">
        <v>45992</v>
      </c>
      <c r="B16" s="8" t="s">
        <v>26</v>
      </c>
      <c r="C16" s="8" t="s">
        <v>27</v>
      </c>
      <c r="D16" s="8" t="s">
        <v>34</v>
      </c>
      <c r="E16" s="8" t="s">
        <v>22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 t="shared" si="1"/>
        <v>246</v>
      </c>
      <c r="L16" s="8">
        <v>66</v>
      </c>
      <c r="M16" s="8">
        <v>312</v>
      </c>
      <c r="N16" s="11">
        <f t="shared" si="2"/>
        <v>0.76035256410256402</v>
      </c>
      <c r="O16" s="11">
        <f t="shared" si="3"/>
        <v>0.96434959349593496</v>
      </c>
      <c r="P16" s="12">
        <f t="shared" si="4"/>
        <v>1452000</v>
      </c>
      <c r="Q16" s="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2.75" customHeight="1" x14ac:dyDescent="0.25">
      <c r="A17" s="7">
        <v>46023</v>
      </c>
      <c r="B17" s="8" t="s">
        <v>26</v>
      </c>
      <c r="C17" s="8" t="s">
        <v>27</v>
      </c>
      <c r="D17" s="8" t="s">
        <v>34</v>
      </c>
      <c r="E17" s="8" t="s">
        <v>22</v>
      </c>
      <c r="F17" s="8">
        <v>4</v>
      </c>
      <c r="G17" s="9"/>
      <c r="H17" s="9">
        <v>2</v>
      </c>
      <c r="I17" s="10">
        <v>63.76</v>
      </c>
      <c r="J17" s="8">
        <v>100</v>
      </c>
      <c r="K17" s="8">
        <f t="shared" si="1"/>
        <v>101</v>
      </c>
      <c r="L17" s="8">
        <v>133</v>
      </c>
      <c r="M17" s="8">
        <v>232</v>
      </c>
      <c r="N17" s="11">
        <f t="shared" si="2"/>
        <v>0.27482758620689657</v>
      </c>
      <c r="O17" s="11">
        <f t="shared" si="3"/>
        <v>0.63128712871287129</v>
      </c>
      <c r="P17" s="12">
        <f t="shared" si="4"/>
        <v>2926000</v>
      </c>
      <c r="Q17" s="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2.75" customHeight="1" x14ac:dyDescent="0.25">
      <c r="A18" s="7">
        <v>45992</v>
      </c>
      <c r="B18" s="8" t="s">
        <v>35</v>
      </c>
      <c r="C18" s="8" t="s">
        <v>36</v>
      </c>
      <c r="D18" s="8" t="s">
        <v>37</v>
      </c>
      <c r="E18" s="8" t="s">
        <v>20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 t="shared" ref="K18:K49" si="6">J18+ABS(M18-(J18+L18))</f>
        <v>1079</v>
      </c>
      <c r="L18" s="8">
        <v>60</v>
      </c>
      <c r="M18" s="8">
        <v>1139</v>
      </c>
      <c r="N18" s="11">
        <f t="shared" ref="N18:N49" si="7">+I18/M18</f>
        <v>0.70702370500438982</v>
      </c>
      <c r="O18" s="11">
        <f t="shared" ref="O18:O49" si="8">+I18/K18</f>
        <v>0.74633920296570899</v>
      </c>
      <c r="P18" s="12">
        <f t="shared" ref="P18:P49" si="9">+L18*22000</f>
        <v>1320000</v>
      </c>
      <c r="Q18" s="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2.75" customHeight="1" x14ac:dyDescent="0.25">
      <c r="A19" s="7">
        <v>46054</v>
      </c>
      <c r="B19" s="8" t="s">
        <v>26</v>
      </c>
      <c r="C19" s="8" t="s">
        <v>27</v>
      </c>
      <c r="D19" s="8" t="s">
        <v>34</v>
      </c>
      <c r="E19" s="8" t="s">
        <v>22</v>
      </c>
      <c r="F19" s="8">
        <v>11</v>
      </c>
      <c r="G19" s="9"/>
      <c r="H19" s="9">
        <v>2</v>
      </c>
      <c r="I19" s="10">
        <v>217</v>
      </c>
      <c r="J19" s="8">
        <v>247</v>
      </c>
      <c r="K19" s="8">
        <f t="shared" si="6"/>
        <v>253</v>
      </c>
      <c r="L19" s="8">
        <v>47</v>
      </c>
      <c r="M19" s="8">
        <v>288</v>
      </c>
      <c r="N19" s="11">
        <f t="shared" si="7"/>
        <v>0.75347222222222221</v>
      </c>
      <c r="O19" s="11">
        <f t="shared" si="8"/>
        <v>0.85770750988142297</v>
      </c>
      <c r="P19" s="12">
        <f t="shared" si="9"/>
        <v>1034000</v>
      </c>
      <c r="Q19" s="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2.75" customHeight="1" x14ac:dyDescent="0.25">
      <c r="A20" s="7">
        <v>46082</v>
      </c>
      <c r="B20" s="8" t="s">
        <v>26</v>
      </c>
      <c r="C20" s="8" t="s">
        <v>27</v>
      </c>
      <c r="D20" s="8" t="s">
        <v>34</v>
      </c>
      <c r="E20" s="14" t="s">
        <v>22</v>
      </c>
      <c r="F20" s="8">
        <f>16+2</f>
        <v>18</v>
      </c>
      <c r="G20" s="9"/>
      <c r="H20" s="9">
        <v>2</v>
      </c>
      <c r="I20" s="10">
        <v>252.74</v>
      </c>
      <c r="J20" s="8">
        <v>306</v>
      </c>
      <c r="K20" s="8">
        <f t="shared" si="6"/>
        <v>310</v>
      </c>
      <c r="L20" s="8">
        <v>81</v>
      </c>
      <c r="M20" s="8">
        <f>213.5-20+(193.5-37-16)+64-7</f>
        <v>391</v>
      </c>
      <c r="N20" s="11">
        <f t="shared" si="7"/>
        <v>0.64639386189258319</v>
      </c>
      <c r="O20" s="11">
        <f t="shared" si="8"/>
        <v>0.81529032258064515</v>
      </c>
      <c r="P20" s="12">
        <f t="shared" si="9"/>
        <v>1782000</v>
      </c>
      <c r="Q20" s="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2.75" customHeight="1" x14ac:dyDescent="0.25">
      <c r="A21" s="7">
        <v>45992</v>
      </c>
      <c r="B21" s="8" t="s">
        <v>26</v>
      </c>
      <c r="C21" s="8" t="s">
        <v>27</v>
      </c>
      <c r="D21" s="8" t="s">
        <v>38</v>
      </c>
      <c r="E21" s="8" t="s">
        <v>22</v>
      </c>
      <c r="F21" s="8">
        <v>13</v>
      </c>
      <c r="G21" s="9"/>
      <c r="H21" s="9">
        <v>2</v>
      </c>
      <c r="I21" s="10">
        <v>195</v>
      </c>
      <c r="J21" s="8">
        <v>249</v>
      </c>
      <c r="K21" s="8">
        <f t="shared" si="6"/>
        <v>264</v>
      </c>
      <c r="L21" s="8">
        <v>112</v>
      </c>
      <c r="M21" s="8">
        <v>346</v>
      </c>
      <c r="N21" s="11">
        <f t="shared" si="7"/>
        <v>0.56358381502890176</v>
      </c>
      <c r="O21" s="11">
        <f t="shared" si="8"/>
        <v>0.73863636363636365</v>
      </c>
      <c r="P21" s="12">
        <f t="shared" si="9"/>
        <v>2464000</v>
      </c>
      <c r="Q21" s="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2.75" customHeight="1" x14ac:dyDescent="0.25">
      <c r="A22" s="7">
        <v>46023</v>
      </c>
      <c r="B22" s="8" t="s">
        <v>26</v>
      </c>
      <c r="C22" s="8" t="s">
        <v>27</v>
      </c>
      <c r="D22" s="8" t="s">
        <v>38</v>
      </c>
      <c r="E22" s="8" t="s">
        <v>22</v>
      </c>
      <c r="F22" s="8">
        <v>4</v>
      </c>
      <c r="G22" s="9"/>
      <c r="H22" s="9">
        <v>2</v>
      </c>
      <c r="I22" s="10">
        <v>63.76</v>
      </c>
      <c r="J22" s="8">
        <v>129</v>
      </c>
      <c r="K22" s="8">
        <f t="shared" si="6"/>
        <v>166</v>
      </c>
      <c r="L22" s="8">
        <v>111</v>
      </c>
      <c r="M22" s="8">
        <v>277</v>
      </c>
      <c r="N22" s="11">
        <f t="shared" si="7"/>
        <v>0.23018050541516244</v>
      </c>
      <c r="O22" s="11">
        <f t="shared" si="8"/>
        <v>0.38409638554216868</v>
      </c>
      <c r="P22" s="12">
        <f t="shared" si="9"/>
        <v>2442000</v>
      </c>
      <c r="Q22" s="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2.75" customHeight="1" x14ac:dyDescent="0.25">
      <c r="A23" s="7">
        <v>46054</v>
      </c>
      <c r="B23" s="8" t="s">
        <v>26</v>
      </c>
      <c r="C23" s="8" t="s">
        <v>27</v>
      </c>
      <c r="D23" s="8" t="s">
        <v>38</v>
      </c>
      <c r="E23" s="8" t="s">
        <v>22</v>
      </c>
      <c r="F23" s="8">
        <v>19</v>
      </c>
      <c r="G23" s="9"/>
      <c r="H23" s="9">
        <v>2</v>
      </c>
      <c r="I23" s="10">
        <v>267</v>
      </c>
      <c r="J23" s="8">
        <v>258</v>
      </c>
      <c r="K23" s="8">
        <f t="shared" si="6"/>
        <v>259</v>
      </c>
      <c r="L23" s="8">
        <v>124</v>
      </c>
      <c r="M23" s="8">
        <v>381</v>
      </c>
      <c r="N23" s="11">
        <f t="shared" si="7"/>
        <v>0.70078740157480313</v>
      </c>
      <c r="O23" s="11">
        <f t="shared" si="8"/>
        <v>1.0308880308880308</v>
      </c>
      <c r="P23" s="12">
        <f t="shared" si="9"/>
        <v>2728000</v>
      </c>
      <c r="Q23" s="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2.75" customHeight="1" x14ac:dyDescent="0.25">
      <c r="A24" s="7">
        <v>46082</v>
      </c>
      <c r="B24" s="8" t="s">
        <v>26</v>
      </c>
      <c r="C24" s="8" t="s">
        <v>27</v>
      </c>
      <c r="D24" s="8" t="s">
        <v>38</v>
      </c>
      <c r="E24" s="14" t="s">
        <v>22</v>
      </c>
      <c r="F24" s="8">
        <f>17+3+4</f>
        <v>24</v>
      </c>
      <c r="G24" s="9"/>
      <c r="H24" s="9">
        <v>2</v>
      </c>
      <c r="I24" s="10">
        <v>412.49</v>
      </c>
      <c r="J24" s="8">
        <v>310</v>
      </c>
      <c r="K24" s="8">
        <f t="shared" si="6"/>
        <v>324</v>
      </c>
      <c r="L24" s="8">
        <v>122</v>
      </c>
      <c r="M24" s="8">
        <f>252+234-40</f>
        <v>446</v>
      </c>
      <c r="N24" s="11">
        <f t="shared" si="7"/>
        <v>0.92486547085201798</v>
      </c>
      <c r="O24" s="11">
        <f t="shared" si="8"/>
        <v>1.2731172839506173</v>
      </c>
      <c r="P24" s="12">
        <f t="shared" si="9"/>
        <v>2684000</v>
      </c>
      <c r="Q24" s="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2.75" customHeight="1" x14ac:dyDescent="0.25">
      <c r="A25" s="7">
        <v>45992</v>
      </c>
      <c r="B25" s="8" t="s">
        <v>17</v>
      </c>
      <c r="C25" s="8" t="s">
        <v>39</v>
      </c>
      <c r="D25" s="8" t="s">
        <v>40</v>
      </c>
      <c r="E25" s="8" t="s">
        <v>20</v>
      </c>
      <c r="F25" s="8">
        <v>14</v>
      </c>
      <c r="G25" s="9">
        <v>9.1999999999999993</v>
      </c>
      <c r="H25" s="9">
        <v>2</v>
      </c>
      <c r="I25" s="10">
        <f t="shared" ref="I25:I33" si="10">(G25*F25)+0.25*F25</f>
        <v>132.29999999999998</v>
      </c>
      <c r="J25" s="8">
        <v>188</v>
      </c>
      <c r="K25" s="8">
        <f t="shared" si="6"/>
        <v>268</v>
      </c>
      <c r="L25" s="15">
        <v>91</v>
      </c>
      <c r="M25" s="8">
        <v>359</v>
      </c>
      <c r="N25" s="11">
        <f t="shared" si="7"/>
        <v>0.36852367688022281</v>
      </c>
      <c r="O25" s="11">
        <f t="shared" si="8"/>
        <v>0.49365671641791037</v>
      </c>
      <c r="P25" s="12">
        <f t="shared" si="9"/>
        <v>2002000</v>
      </c>
      <c r="Q25" s="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2.75" customHeight="1" x14ac:dyDescent="0.25">
      <c r="A26" s="7">
        <v>45992</v>
      </c>
      <c r="B26" s="8" t="s">
        <v>17</v>
      </c>
      <c r="C26" s="8" t="s">
        <v>39</v>
      </c>
      <c r="D26" s="8" t="s">
        <v>41</v>
      </c>
      <c r="E26" s="8" t="s">
        <v>20</v>
      </c>
      <c r="F26" s="8">
        <v>16</v>
      </c>
      <c r="G26" s="9">
        <v>7.61</v>
      </c>
      <c r="H26" s="9">
        <v>2</v>
      </c>
      <c r="I26" s="10">
        <f t="shared" si="10"/>
        <v>125.76</v>
      </c>
      <c r="J26" s="8">
        <v>117</v>
      </c>
      <c r="K26" s="8">
        <f t="shared" si="6"/>
        <v>251</v>
      </c>
      <c r="L26" s="8">
        <v>45</v>
      </c>
      <c r="M26" s="8">
        <v>296</v>
      </c>
      <c r="N26" s="11">
        <f t="shared" si="7"/>
        <v>0.42486486486486486</v>
      </c>
      <c r="O26" s="11">
        <f t="shared" si="8"/>
        <v>0.5010358565737052</v>
      </c>
      <c r="P26" s="12">
        <f t="shared" si="9"/>
        <v>990000</v>
      </c>
      <c r="Q26" s="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2.75" customHeight="1" x14ac:dyDescent="0.25">
      <c r="A27" s="7">
        <v>45992</v>
      </c>
      <c r="B27" s="8" t="s">
        <v>17</v>
      </c>
      <c r="C27" s="8" t="s">
        <v>39</v>
      </c>
      <c r="D27" s="8" t="s">
        <v>42</v>
      </c>
      <c r="E27" s="8" t="s">
        <v>20</v>
      </c>
      <c r="F27" s="8">
        <v>15</v>
      </c>
      <c r="G27" s="9">
        <v>12.98</v>
      </c>
      <c r="H27" s="9">
        <v>3</v>
      </c>
      <c r="I27" s="10">
        <f t="shared" si="10"/>
        <v>198.45000000000002</v>
      </c>
      <c r="J27" s="8">
        <v>311</v>
      </c>
      <c r="K27" s="8">
        <f t="shared" si="6"/>
        <v>422</v>
      </c>
      <c r="L27" s="8">
        <v>102</v>
      </c>
      <c r="M27" s="8">
        <v>524</v>
      </c>
      <c r="N27" s="11">
        <f t="shared" si="7"/>
        <v>0.37872137404580158</v>
      </c>
      <c r="O27" s="11">
        <f t="shared" si="8"/>
        <v>0.47026066350710904</v>
      </c>
      <c r="P27" s="12">
        <f t="shared" si="9"/>
        <v>2244000</v>
      </c>
      <c r="Q27" s="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2.75" customHeight="1" x14ac:dyDescent="0.25">
      <c r="A28" s="7">
        <v>45992</v>
      </c>
      <c r="B28" s="8" t="s">
        <v>17</v>
      </c>
      <c r="C28" s="8" t="s">
        <v>39</v>
      </c>
      <c r="D28" s="8" t="s">
        <v>43</v>
      </c>
      <c r="E28" s="8" t="s">
        <v>20</v>
      </c>
      <c r="F28" s="8">
        <v>13</v>
      </c>
      <c r="G28" s="9">
        <v>4.6900000000000004</v>
      </c>
      <c r="H28" s="9">
        <v>1</v>
      </c>
      <c r="I28" s="10">
        <f t="shared" si="10"/>
        <v>64.22</v>
      </c>
      <c r="J28" s="8">
        <v>107</v>
      </c>
      <c r="K28" s="8">
        <f t="shared" si="6"/>
        <v>157</v>
      </c>
      <c r="L28" s="8">
        <v>2</v>
      </c>
      <c r="M28" s="8">
        <v>159</v>
      </c>
      <c r="N28" s="11">
        <f t="shared" si="7"/>
        <v>0.40389937106918239</v>
      </c>
      <c r="O28" s="11">
        <f t="shared" si="8"/>
        <v>0.40904458598726112</v>
      </c>
      <c r="P28" s="12">
        <f t="shared" si="9"/>
        <v>44000</v>
      </c>
      <c r="Q28" s="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2.75" customHeight="1" x14ac:dyDescent="0.25">
      <c r="A29" s="7">
        <v>45992</v>
      </c>
      <c r="B29" s="8" t="s">
        <v>17</v>
      </c>
      <c r="C29" s="8" t="s">
        <v>39</v>
      </c>
      <c r="D29" s="8" t="s">
        <v>44</v>
      </c>
      <c r="E29" s="8" t="s">
        <v>20</v>
      </c>
      <c r="F29" s="8">
        <v>11</v>
      </c>
      <c r="G29" s="9">
        <v>4.6100000000000003</v>
      </c>
      <c r="H29" s="9">
        <v>1</v>
      </c>
      <c r="I29" s="10">
        <f t="shared" si="10"/>
        <v>53.46</v>
      </c>
      <c r="J29" s="8">
        <v>90</v>
      </c>
      <c r="K29" s="8">
        <f t="shared" si="6"/>
        <v>211</v>
      </c>
      <c r="L29" s="16">
        <v>23</v>
      </c>
      <c r="M29" s="8">
        <v>234</v>
      </c>
      <c r="N29" s="11">
        <f t="shared" si="7"/>
        <v>0.22846153846153847</v>
      </c>
      <c r="O29" s="11">
        <f t="shared" si="8"/>
        <v>0.2533649289099526</v>
      </c>
      <c r="P29" s="12">
        <f t="shared" si="9"/>
        <v>506000</v>
      </c>
      <c r="Q29" s="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2.75" customHeight="1" x14ac:dyDescent="0.25">
      <c r="A30" s="7">
        <v>45992</v>
      </c>
      <c r="B30" s="8" t="s">
        <v>17</v>
      </c>
      <c r="C30" s="8" t="s">
        <v>39</v>
      </c>
      <c r="D30" s="8" t="s">
        <v>45</v>
      </c>
      <c r="E30" s="8" t="s">
        <v>20</v>
      </c>
      <c r="F30" s="8">
        <v>5</v>
      </c>
      <c r="G30" s="9">
        <v>4.5</v>
      </c>
      <c r="H30" s="9">
        <v>1</v>
      </c>
      <c r="I30" s="10">
        <f t="shared" si="10"/>
        <v>23.75</v>
      </c>
      <c r="J30" s="8">
        <v>57</v>
      </c>
      <c r="K30" s="8">
        <f t="shared" si="6"/>
        <v>140</v>
      </c>
      <c r="L30" s="16">
        <v>86</v>
      </c>
      <c r="M30" s="8">
        <v>226</v>
      </c>
      <c r="N30" s="11">
        <f t="shared" si="7"/>
        <v>0.10508849557522124</v>
      </c>
      <c r="O30" s="11">
        <f t="shared" si="8"/>
        <v>0.16964285714285715</v>
      </c>
      <c r="P30" s="12">
        <f t="shared" si="9"/>
        <v>1892000</v>
      </c>
      <c r="Q30" s="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2.75" customHeight="1" x14ac:dyDescent="0.25">
      <c r="A31" s="7">
        <v>45992</v>
      </c>
      <c r="B31" s="8" t="s">
        <v>17</v>
      </c>
      <c r="C31" s="8" t="s">
        <v>39</v>
      </c>
      <c r="D31" s="8" t="s">
        <v>46</v>
      </c>
      <c r="E31" s="8" t="s">
        <v>20</v>
      </c>
      <c r="F31" s="8">
        <v>11</v>
      </c>
      <c r="G31" s="9">
        <v>9.1999999999999993</v>
      </c>
      <c r="H31" s="9">
        <v>2</v>
      </c>
      <c r="I31" s="10">
        <f t="shared" si="10"/>
        <v>103.94999999999999</v>
      </c>
      <c r="J31" s="8">
        <v>193</v>
      </c>
      <c r="K31" s="8">
        <f t="shared" si="6"/>
        <v>236</v>
      </c>
      <c r="L31" s="16">
        <v>124</v>
      </c>
      <c r="M31" s="8">
        <v>360</v>
      </c>
      <c r="N31" s="11">
        <f t="shared" si="7"/>
        <v>0.28874999999999995</v>
      </c>
      <c r="O31" s="11">
        <f t="shared" si="8"/>
        <v>0.44046610169491518</v>
      </c>
      <c r="P31" s="12">
        <f t="shared" si="9"/>
        <v>2728000</v>
      </c>
      <c r="Q31" s="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2.75" customHeight="1" x14ac:dyDescent="0.25">
      <c r="A32" s="7">
        <v>45992</v>
      </c>
      <c r="B32" s="8" t="s">
        <v>17</v>
      </c>
      <c r="C32" s="8" t="s">
        <v>39</v>
      </c>
      <c r="D32" s="8" t="s">
        <v>47</v>
      </c>
      <c r="E32" s="8" t="s">
        <v>20</v>
      </c>
      <c r="F32" s="8">
        <v>15</v>
      </c>
      <c r="G32" s="9">
        <f>20736/3600</f>
        <v>5.76</v>
      </c>
      <c r="H32" s="9">
        <v>1</v>
      </c>
      <c r="I32" s="10">
        <f t="shared" si="10"/>
        <v>90.149999999999991</v>
      </c>
      <c r="J32" s="8">
        <v>115</v>
      </c>
      <c r="K32" s="8">
        <f t="shared" si="6"/>
        <v>127</v>
      </c>
      <c r="L32" s="16">
        <v>41</v>
      </c>
      <c r="M32" s="8">
        <v>168</v>
      </c>
      <c r="N32" s="11">
        <f t="shared" si="7"/>
        <v>0.53660714285714284</v>
      </c>
      <c r="O32" s="11">
        <f t="shared" si="8"/>
        <v>0.70984251968503931</v>
      </c>
      <c r="P32" s="12">
        <f t="shared" si="9"/>
        <v>902000</v>
      </c>
      <c r="Q32" s="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2.75" customHeight="1" x14ac:dyDescent="0.25">
      <c r="A33" s="7">
        <v>45992</v>
      </c>
      <c r="B33" s="8" t="s">
        <v>17</v>
      </c>
      <c r="C33" s="8" t="s">
        <v>39</v>
      </c>
      <c r="D33" s="8" t="s">
        <v>48</v>
      </c>
      <c r="E33" s="8" t="s">
        <v>20</v>
      </c>
      <c r="F33" s="8">
        <v>22</v>
      </c>
      <c r="G33" s="9">
        <v>10.039999999999999</v>
      </c>
      <c r="H33" s="9">
        <v>2</v>
      </c>
      <c r="I33" s="10">
        <f t="shared" si="10"/>
        <v>226.38</v>
      </c>
      <c r="J33" s="8">
        <v>154</v>
      </c>
      <c r="K33" s="8">
        <f t="shared" si="6"/>
        <v>361</v>
      </c>
      <c r="L33" s="16">
        <v>34</v>
      </c>
      <c r="M33" s="8">
        <v>395</v>
      </c>
      <c r="N33" s="11">
        <f t="shared" si="7"/>
        <v>0.57311392405063288</v>
      </c>
      <c r="O33" s="11">
        <f t="shared" si="8"/>
        <v>0.62709141274238223</v>
      </c>
      <c r="P33" s="12">
        <f t="shared" si="9"/>
        <v>748000</v>
      </c>
      <c r="Q33" s="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2.75" customHeight="1" x14ac:dyDescent="0.25">
      <c r="A34" s="7">
        <v>46023</v>
      </c>
      <c r="B34" s="8" t="s">
        <v>35</v>
      </c>
      <c r="C34" s="8" t="s">
        <v>36</v>
      </c>
      <c r="D34" s="8" t="s">
        <v>37</v>
      </c>
      <c r="E34" s="8" t="s">
        <v>20</v>
      </c>
      <c r="F34" s="8">
        <v>115</v>
      </c>
      <c r="G34" s="9"/>
      <c r="H34" s="9">
        <v>6</v>
      </c>
      <c r="I34" s="10">
        <v>611</v>
      </c>
      <c r="J34" s="8">
        <v>312</v>
      </c>
      <c r="K34" s="8">
        <f t="shared" si="6"/>
        <v>873</v>
      </c>
      <c r="L34" s="8">
        <v>18</v>
      </c>
      <c r="M34" s="8">
        <v>891</v>
      </c>
      <c r="N34" s="11">
        <f t="shared" si="7"/>
        <v>0.68574635241301907</v>
      </c>
      <c r="O34" s="11">
        <f t="shared" si="8"/>
        <v>0.69988545246277201</v>
      </c>
      <c r="P34" s="12">
        <f t="shared" si="9"/>
        <v>396000</v>
      </c>
      <c r="Q34" s="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2.75" customHeight="1" x14ac:dyDescent="0.25">
      <c r="A35" s="7">
        <v>45992</v>
      </c>
      <c r="B35" s="8" t="s">
        <v>17</v>
      </c>
      <c r="C35" s="8" t="s">
        <v>39</v>
      </c>
      <c r="D35" s="8" t="s">
        <v>51</v>
      </c>
      <c r="E35" s="8" t="s">
        <v>20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 t="shared" si="6"/>
        <v>126</v>
      </c>
      <c r="L35" s="8">
        <v>37</v>
      </c>
      <c r="M35" s="8">
        <v>163</v>
      </c>
      <c r="N35" s="11">
        <f t="shared" si="7"/>
        <v>0.4776687116564417</v>
      </c>
      <c r="O35" s="11">
        <f t="shared" si="8"/>
        <v>0.61793650793650789</v>
      </c>
      <c r="P35" s="12">
        <f t="shared" si="9"/>
        <v>814000</v>
      </c>
      <c r="Q35" s="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2.75" customHeight="1" x14ac:dyDescent="0.25">
      <c r="A36" s="7">
        <v>45992</v>
      </c>
      <c r="B36" s="8" t="s">
        <v>17</v>
      </c>
      <c r="C36" s="8" t="s">
        <v>39</v>
      </c>
      <c r="D36" s="8" t="s">
        <v>52</v>
      </c>
      <c r="E36" s="8" t="s">
        <v>20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 t="shared" si="6"/>
        <v>98</v>
      </c>
      <c r="L36" s="8">
        <v>40</v>
      </c>
      <c r="M36" s="8">
        <v>138</v>
      </c>
      <c r="N36" s="11">
        <f t="shared" si="7"/>
        <v>0.56231884057971016</v>
      </c>
      <c r="O36" s="11">
        <f t="shared" si="8"/>
        <v>0.7918367346938775</v>
      </c>
      <c r="P36" s="12">
        <f t="shared" si="9"/>
        <v>880000</v>
      </c>
      <c r="Q36" s="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2.75" customHeight="1" x14ac:dyDescent="0.25">
      <c r="A37" s="7">
        <v>45992</v>
      </c>
      <c r="B37" s="8" t="s">
        <v>17</v>
      </c>
      <c r="C37" s="8" t="s">
        <v>39</v>
      </c>
      <c r="D37" s="8" t="s">
        <v>53</v>
      </c>
      <c r="E37" s="8" t="s">
        <v>20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 t="shared" si="6"/>
        <v>141</v>
      </c>
      <c r="L37" s="8">
        <v>14</v>
      </c>
      <c r="M37" s="8">
        <v>155</v>
      </c>
      <c r="N37" s="11">
        <f t="shared" si="7"/>
        <v>0.5385161290322581</v>
      </c>
      <c r="O37" s="11">
        <f t="shared" si="8"/>
        <v>0.59198581560283692</v>
      </c>
      <c r="P37" s="12">
        <f t="shared" si="9"/>
        <v>308000</v>
      </c>
      <c r="Q37" s="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2.75" customHeight="1" x14ac:dyDescent="0.25">
      <c r="A38" s="7">
        <v>46023</v>
      </c>
      <c r="B38" s="8" t="s">
        <v>26</v>
      </c>
      <c r="C38" s="8" t="s">
        <v>27</v>
      </c>
      <c r="D38" s="8" t="s">
        <v>54</v>
      </c>
      <c r="E38" s="8" t="s">
        <v>20</v>
      </c>
      <c r="F38" s="8">
        <v>5</v>
      </c>
      <c r="G38" s="9"/>
      <c r="H38" s="9">
        <v>1</v>
      </c>
      <c r="I38" s="10">
        <v>13.75</v>
      </c>
      <c r="J38" s="8">
        <v>0</v>
      </c>
      <c r="K38" s="8">
        <f t="shared" si="6"/>
        <v>50</v>
      </c>
      <c r="L38" s="8">
        <v>0</v>
      </c>
      <c r="M38" s="8">
        <v>50</v>
      </c>
      <c r="N38" s="11">
        <f t="shared" si="7"/>
        <v>0.27500000000000002</v>
      </c>
      <c r="O38" s="11">
        <f t="shared" si="8"/>
        <v>0.27500000000000002</v>
      </c>
      <c r="P38" s="12">
        <f t="shared" si="9"/>
        <v>0</v>
      </c>
      <c r="Q38" s="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2.75" customHeight="1" x14ac:dyDescent="0.25">
      <c r="A39" s="7">
        <v>46023</v>
      </c>
      <c r="B39" s="8" t="s">
        <v>26</v>
      </c>
      <c r="C39" s="8" t="s">
        <v>27</v>
      </c>
      <c r="D39" s="8" t="s">
        <v>28</v>
      </c>
      <c r="E39" s="8" t="s">
        <v>20</v>
      </c>
      <c r="F39" s="8">
        <v>5</v>
      </c>
      <c r="G39" s="9"/>
      <c r="H39" s="9">
        <v>1</v>
      </c>
      <c r="I39" s="10">
        <v>26.25</v>
      </c>
      <c r="J39" s="8">
        <v>0</v>
      </c>
      <c r="K39" s="8">
        <f t="shared" si="6"/>
        <v>34</v>
      </c>
      <c r="L39" s="8">
        <v>0</v>
      </c>
      <c r="M39" s="8">
        <v>34</v>
      </c>
      <c r="N39" s="11">
        <f t="shared" si="7"/>
        <v>0.7720588235294118</v>
      </c>
      <c r="O39" s="11">
        <f t="shared" si="8"/>
        <v>0.7720588235294118</v>
      </c>
      <c r="P39" s="12">
        <f t="shared" si="9"/>
        <v>0</v>
      </c>
      <c r="Q39" s="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2.75" customHeight="1" x14ac:dyDescent="0.25">
      <c r="A40" s="7">
        <v>46023</v>
      </c>
      <c r="B40" s="8" t="s">
        <v>26</v>
      </c>
      <c r="C40" s="8" t="s">
        <v>27</v>
      </c>
      <c r="D40" s="8" t="s">
        <v>29</v>
      </c>
      <c r="E40" s="8" t="s">
        <v>20</v>
      </c>
      <c r="F40" s="8">
        <v>2</v>
      </c>
      <c r="G40" s="9"/>
      <c r="H40" s="9">
        <v>1</v>
      </c>
      <c r="I40" s="10">
        <v>16.16</v>
      </c>
      <c r="J40" s="8">
        <v>0</v>
      </c>
      <c r="K40" s="8">
        <f t="shared" si="6"/>
        <v>25</v>
      </c>
      <c r="L40" s="8">
        <v>24</v>
      </c>
      <c r="M40" s="8">
        <v>49</v>
      </c>
      <c r="N40" s="11">
        <f t="shared" si="7"/>
        <v>0.32979591836734695</v>
      </c>
      <c r="O40" s="11">
        <f t="shared" si="8"/>
        <v>0.64639999999999997</v>
      </c>
      <c r="P40" s="12">
        <f t="shared" si="9"/>
        <v>528000</v>
      </c>
      <c r="Q40" s="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2.75" customHeight="1" x14ac:dyDescent="0.25">
      <c r="A41" s="7">
        <v>46023</v>
      </c>
      <c r="B41" s="8" t="s">
        <v>26</v>
      </c>
      <c r="C41" s="8" t="s">
        <v>27</v>
      </c>
      <c r="D41" s="8" t="s">
        <v>30</v>
      </c>
      <c r="E41" s="8" t="s">
        <v>20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 t="shared" si="6"/>
        <v>85</v>
      </c>
      <c r="L41" s="8">
        <v>46</v>
      </c>
      <c r="M41" s="8">
        <v>47</v>
      </c>
      <c r="N41" s="11">
        <f t="shared" si="7"/>
        <v>0.68765957446808512</v>
      </c>
      <c r="O41" s="11">
        <f t="shared" si="8"/>
        <v>0.38023529411764706</v>
      </c>
      <c r="P41" s="12">
        <f t="shared" si="9"/>
        <v>1012000</v>
      </c>
      <c r="Q41" s="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2.75" customHeight="1" x14ac:dyDescent="0.25">
      <c r="A42" s="7">
        <v>46023</v>
      </c>
      <c r="B42" s="8" t="s">
        <v>26</v>
      </c>
      <c r="C42" s="8" t="s">
        <v>27</v>
      </c>
      <c r="D42" s="8" t="s">
        <v>31</v>
      </c>
      <c r="E42" s="8" t="s">
        <v>20</v>
      </c>
      <c r="F42" s="8">
        <v>14</v>
      </c>
      <c r="G42" s="9"/>
      <c r="H42" s="9">
        <v>1</v>
      </c>
      <c r="I42" s="10">
        <v>39</v>
      </c>
      <c r="J42" s="8">
        <v>41</v>
      </c>
      <c r="K42" s="8">
        <f t="shared" si="6"/>
        <v>50</v>
      </c>
      <c r="L42" s="8">
        <v>17</v>
      </c>
      <c r="M42" s="8">
        <v>49</v>
      </c>
      <c r="N42" s="11">
        <f t="shared" si="7"/>
        <v>0.79591836734693877</v>
      </c>
      <c r="O42" s="11">
        <f t="shared" si="8"/>
        <v>0.78</v>
      </c>
      <c r="P42" s="12">
        <f t="shared" si="9"/>
        <v>374000</v>
      </c>
      <c r="Q42" s="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2.75" customHeight="1" x14ac:dyDescent="0.25">
      <c r="A43" s="7">
        <v>46023</v>
      </c>
      <c r="B43" s="8" t="s">
        <v>26</v>
      </c>
      <c r="C43" s="8" t="s">
        <v>27</v>
      </c>
      <c r="D43" s="8" t="s">
        <v>32</v>
      </c>
      <c r="E43" s="8" t="s">
        <v>20</v>
      </c>
      <c r="F43" s="8">
        <v>11</v>
      </c>
      <c r="G43" s="9"/>
      <c r="H43" s="9">
        <v>1</v>
      </c>
      <c r="I43" s="10">
        <v>28.26</v>
      </c>
      <c r="J43" s="8">
        <v>40</v>
      </c>
      <c r="K43" s="8">
        <f t="shared" si="6"/>
        <v>49</v>
      </c>
      <c r="L43" s="8">
        <v>8</v>
      </c>
      <c r="M43" s="8">
        <v>39</v>
      </c>
      <c r="N43" s="11">
        <f t="shared" si="7"/>
        <v>0.72461538461538466</v>
      </c>
      <c r="O43" s="11">
        <f t="shared" si="8"/>
        <v>0.57673469387755105</v>
      </c>
      <c r="P43" s="12">
        <f t="shared" si="9"/>
        <v>176000</v>
      </c>
      <c r="Q43" s="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2.75" customHeight="1" x14ac:dyDescent="0.25">
      <c r="A44" s="7">
        <v>46023</v>
      </c>
      <c r="B44" s="8" t="s">
        <v>26</v>
      </c>
      <c r="C44" s="8" t="s">
        <v>27</v>
      </c>
      <c r="D44" s="8" t="s">
        <v>33</v>
      </c>
      <c r="E44" s="8" t="s">
        <v>20</v>
      </c>
      <c r="F44" s="8">
        <v>4</v>
      </c>
      <c r="G44" s="9"/>
      <c r="H44" s="9">
        <v>1</v>
      </c>
      <c r="I44" s="10">
        <v>9.8000000000000007</v>
      </c>
      <c r="J44" s="8">
        <v>14</v>
      </c>
      <c r="K44" s="8">
        <f t="shared" si="6"/>
        <v>39</v>
      </c>
      <c r="L44" s="8">
        <v>37</v>
      </c>
      <c r="M44" s="8">
        <v>26</v>
      </c>
      <c r="N44" s="11">
        <f t="shared" si="7"/>
        <v>0.37692307692307697</v>
      </c>
      <c r="O44" s="11">
        <f t="shared" si="8"/>
        <v>0.25128205128205128</v>
      </c>
      <c r="P44" s="12">
        <f t="shared" si="9"/>
        <v>814000</v>
      </c>
      <c r="Q44" s="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2.75" customHeight="1" x14ac:dyDescent="0.25">
      <c r="A45" s="7">
        <v>45992</v>
      </c>
      <c r="B45" s="8" t="s">
        <v>35</v>
      </c>
      <c r="C45" s="8" t="s">
        <v>64</v>
      </c>
      <c r="D45" s="8" t="s">
        <v>65</v>
      </c>
      <c r="E45" s="8" t="s">
        <v>20</v>
      </c>
      <c r="F45" s="8">
        <v>167</v>
      </c>
      <c r="G45" s="9"/>
      <c r="H45" s="9">
        <v>3</v>
      </c>
      <c r="I45" s="10">
        <v>476.95</v>
      </c>
      <c r="J45" s="8">
        <v>510</v>
      </c>
      <c r="K45" s="8">
        <f t="shared" si="6"/>
        <v>514</v>
      </c>
      <c r="L45" s="8">
        <v>63</v>
      </c>
      <c r="M45" s="8">
        <v>569</v>
      </c>
      <c r="N45" s="11">
        <f t="shared" si="7"/>
        <v>0.83822495606326886</v>
      </c>
      <c r="O45" s="11">
        <f t="shared" si="8"/>
        <v>0.92791828793774311</v>
      </c>
      <c r="P45" s="12">
        <f t="shared" si="9"/>
        <v>1386000</v>
      </c>
      <c r="Q45" s="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2.75" customHeight="1" x14ac:dyDescent="0.25">
      <c r="A46" s="7">
        <v>46023</v>
      </c>
      <c r="B46" s="8" t="s">
        <v>35</v>
      </c>
      <c r="C46" s="8" t="s">
        <v>64</v>
      </c>
      <c r="D46" s="8" t="s">
        <v>65</v>
      </c>
      <c r="E46" s="8" t="s">
        <v>20</v>
      </c>
      <c r="F46" s="8">
        <v>119</v>
      </c>
      <c r="G46" s="9"/>
      <c r="H46" s="9">
        <v>3</v>
      </c>
      <c r="I46" s="10">
        <v>371</v>
      </c>
      <c r="J46" s="8">
        <v>382</v>
      </c>
      <c r="K46" s="8">
        <f t="shared" si="6"/>
        <v>406</v>
      </c>
      <c r="L46" s="8">
        <v>26</v>
      </c>
      <c r="M46" s="8">
        <v>384</v>
      </c>
      <c r="N46" s="11">
        <f t="shared" si="7"/>
        <v>0.96614583333333337</v>
      </c>
      <c r="O46" s="11">
        <f t="shared" si="8"/>
        <v>0.91379310344827591</v>
      </c>
      <c r="P46" s="12">
        <f t="shared" si="9"/>
        <v>572000</v>
      </c>
      <c r="Q46" s="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2.75" customHeight="1" x14ac:dyDescent="0.25">
      <c r="A47" s="7">
        <v>45992</v>
      </c>
      <c r="B47" s="8" t="s">
        <v>17</v>
      </c>
      <c r="C47" s="8" t="s">
        <v>18</v>
      </c>
      <c r="D47" s="8" t="s">
        <v>55</v>
      </c>
      <c r="E47" s="8" t="s">
        <v>20</v>
      </c>
      <c r="F47" s="8">
        <v>9</v>
      </c>
      <c r="G47" s="9"/>
      <c r="H47" s="9"/>
      <c r="I47" s="10">
        <f>(G47*F47)+0.25*F47</f>
        <v>2.25</v>
      </c>
      <c r="J47" s="8">
        <v>80</v>
      </c>
      <c r="K47" s="8">
        <f t="shared" si="6"/>
        <v>121</v>
      </c>
      <c r="L47" s="8">
        <v>65</v>
      </c>
      <c r="M47" s="8">
        <v>104</v>
      </c>
      <c r="N47" s="11">
        <f t="shared" si="7"/>
        <v>2.1634615384615384E-2</v>
      </c>
      <c r="O47" s="11">
        <f t="shared" si="8"/>
        <v>1.859504132231405E-2</v>
      </c>
      <c r="P47" s="12">
        <f t="shared" si="9"/>
        <v>1430000</v>
      </c>
      <c r="Q47" s="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2.75" customHeight="1" x14ac:dyDescent="0.25">
      <c r="A48" s="7">
        <v>46023</v>
      </c>
      <c r="B48" s="8" t="s">
        <v>17</v>
      </c>
      <c r="C48" s="8" t="s">
        <v>18</v>
      </c>
      <c r="D48" s="8" t="s">
        <v>55</v>
      </c>
      <c r="E48" s="8" t="s">
        <v>20</v>
      </c>
      <c r="F48" s="8">
        <v>6</v>
      </c>
      <c r="G48" s="9"/>
      <c r="H48" s="9"/>
      <c r="I48" s="10">
        <v>80</v>
      </c>
      <c r="J48" s="8">
        <v>79</v>
      </c>
      <c r="K48" s="8">
        <f t="shared" si="6"/>
        <v>118</v>
      </c>
      <c r="L48" s="8">
        <v>36</v>
      </c>
      <c r="M48" s="8">
        <v>154</v>
      </c>
      <c r="N48" s="11">
        <f t="shared" si="7"/>
        <v>0.51948051948051943</v>
      </c>
      <c r="O48" s="11">
        <f t="shared" si="8"/>
        <v>0.67796610169491522</v>
      </c>
      <c r="P48" s="12">
        <f t="shared" si="9"/>
        <v>792000</v>
      </c>
      <c r="Q48" s="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2.75" customHeight="1" x14ac:dyDescent="0.25">
      <c r="A49" s="7">
        <v>45992</v>
      </c>
      <c r="B49" s="8" t="s">
        <v>17</v>
      </c>
      <c r="C49" s="8" t="s">
        <v>18</v>
      </c>
      <c r="D49" s="8" t="s">
        <v>56</v>
      </c>
      <c r="E49" s="8" t="s">
        <v>20</v>
      </c>
      <c r="F49" s="8">
        <v>7</v>
      </c>
      <c r="G49" s="9"/>
      <c r="H49" s="9"/>
      <c r="I49" s="10">
        <f t="shared" ref="I49:I57" si="11">(G49*F49)+0.25*F49</f>
        <v>1.75</v>
      </c>
      <c r="J49" s="8">
        <v>83</v>
      </c>
      <c r="K49" s="8">
        <f t="shared" si="6"/>
        <v>161</v>
      </c>
      <c r="L49" s="8">
        <v>59</v>
      </c>
      <c r="M49" s="8">
        <v>220</v>
      </c>
      <c r="N49" s="11">
        <f t="shared" si="7"/>
        <v>7.9545454545454537E-3</v>
      </c>
      <c r="O49" s="11">
        <f t="shared" si="8"/>
        <v>1.0869565217391304E-2</v>
      </c>
      <c r="P49" s="12">
        <f t="shared" si="9"/>
        <v>1298000</v>
      </c>
      <c r="Q49" s="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2.75" customHeight="1" x14ac:dyDescent="0.25">
      <c r="A50" s="7">
        <v>46023</v>
      </c>
      <c r="B50" s="8" t="s">
        <v>17</v>
      </c>
      <c r="C50" s="8" t="s">
        <v>39</v>
      </c>
      <c r="D50" s="8" t="s">
        <v>40</v>
      </c>
      <c r="E50" s="8" t="s">
        <v>20</v>
      </c>
      <c r="F50" s="8">
        <v>12</v>
      </c>
      <c r="G50" s="9">
        <v>9.1999999999999993</v>
      </c>
      <c r="H50" s="9">
        <v>2</v>
      </c>
      <c r="I50" s="10">
        <f t="shared" si="11"/>
        <v>113.39999999999999</v>
      </c>
      <c r="J50" s="8">
        <v>130</v>
      </c>
      <c r="K50" s="8">
        <f t="shared" ref="K50:K81" si="12">J50+ABS(M50-(J50+L50))</f>
        <v>132</v>
      </c>
      <c r="L50" s="16">
        <v>105</v>
      </c>
      <c r="M50" s="8">
        <v>233</v>
      </c>
      <c r="N50" s="11">
        <f t="shared" ref="N50:N81" si="13">+I50/M50</f>
        <v>0.48669527896995707</v>
      </c>
      <c r="O50" s="11">
        <f t="shared" ref="O50:O81" si="14">+I50/K50</f>
        <v>0.85909090909090902</v>
      </c>
      <c r="P50" s="12">
        <f t="shared" ref="P50:P81" si="15">+L50*22000</f>
        <v>2310000</v>
      </c>
      <c r="Q50" s="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2.75" customHeight="1" x14ac:dyDescent="0.25">
      <c r="A51" s="7">
        <v>46023</v>
      </c>
      <c r="B51" s="8" t="s">
        <v>17</v>
      </c>
      <c r="C51" s="8" t="s">
        <v>39</v>
      </c>
      <c r="D51" s="8" t="s">
        <v>41</v>
      </c>
      <c r="E51" s="8" t="s">
        <v>20</v>
      </c>
      <c r="F51" s="8">
        <v>12</v>
      </c>
      <c r="G51" s="9">
        <v>7.61</v>
      </c>
      <c r="H51" s="9">
        <v>2</v>
      </c>
      <c r="I51" s="10">
        <f t="shared" si="11"/>
        <v>94.320000000000007</v>
      </c>
      <c r="J51" s="8">
        <v>139</v>
      </c>
      <c r="K51" s="8">
        <f t="shared" si="12"/>
        <v>157</v>
      </c>
      <c r="L51" s="16">
        <v>77</v>
      </c>
      <c r="M51" s="8">
        <v>234</v>
      </c>
      <c r="N51" s="11">
        <f t="shared" si="13"/>
        <v>0.40307692307692311</v>
      </c>
      <c r="O51" s="11">
        <f t="shared" si="14"/>
        <v>0.60076433121019113</v>
      </c>
      <c r="P51" s="12">
        <f t="shared" si="15"/>
        <v>1694000</v>
      </c>
      <c r="Q51" s="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2.75" customHeight="1" x14ac:dyDescent="0.25">
      <c r="A52" s="7">
        <v>46023</v>
      </c>
      <c r="B52" s="8" t="s">
        <v>17</v>
      </c>
      <c r="C52" s="8" t="s">
        <v>39</v>
      </c>
      <c r="D52" s="8" t="s">
        <v>42</v>
      </c>
      <c r="E52" s="8" t="s">
        <v>20</v>
      </c>
      <c r="F52" s="8">
        <v>17</v>
      </c>
      <c r="G52" s="9">
        <v>12.98</v>
      </c>
      <c r="H52" s="9">
        <v>3</v>
      </c>
      <c r="I52" s="10">
        <f t="shared" si="11"/>
        <v>224.91</v>
      </c>
      <c r="J52" s="8">
        <v>301</v>
      </c>
      <c r="K52" s="8">
        <f t="shared" si="12"/>
        <v>313</v>
      </c>
      <c r="L52" s="16">
        <v>81</v>
      </c>
      <c r="M52" s="8">
        <v>394</v>
      </c>
      <c r="N52" s="11">
        <f t="shared" si="13"/>
        <v>0.57083756345177661</v>
      </c>
      <c r="O52" s="11">
        <f t="shared" si="14"/>
        <v>0.71856230031948876</v>
      </c>
      <c r="P52" s="12">
        <f t="shared" si="15"/>
        <v>1782000</v>
      </c>
      <c r="Q52" s="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2.75" customHeight="1" x14ac:dyDescent="0.25">
      <c r="A53" s="7">
        <v>46023</v>
      </c>
      <c r="B53" s="8" t="s">
        <v>17</v>
      </c>
      <c r="C53" s="8" t="s">
        <v>39</v>
      </c>
      <c r="D53" s="8" t="s">
        <v>43</v>
      </c>
      <c r="E53" s="8" t="s">
        <v>20</v>
      </c>
      <c r="F53" s="8">
        <v>17</v>
      </c>
      <c r="G53" s="9">
        <v>4.6900000000000004</v>
      </c>
      <c r="H53" s="9">
        <v>1</v>
      </c>
      <c r="I53" s="10">
        <f t="shared" si="11"/>
        <v>83.98</v>
      </c>
      <c r="J53" s="8">
        <v>91</v>
      </c>
      <c r="K53" s="8">
        <f t="shared" si="12"/>
        <v>93</v>
      </c>
      <c r="L53" s="16">
        <v>8</v>
      </c>
      <c r="M53" s="8">
        <v>101</v>
      </c>
      <c r="N53" s="11">
        <f t="shared" si="13"/>
        <v>0.83148514851485156</v>
      </c>
      <c r="O53" s="11">
        <f t="shared" si="14"/>
        <v>0.9030107526881721</v>
      </c>
      <c r="P53" s="12">
        <f t="shared" si="15"/>
        <v>176000</v>
      </c>
      <c r="Q53" s="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2.75" customHeight="1" x14ac:dyDescent="0.25">
      <c r="A54" s="7">
        <v>46023</v>
      </c>
      <c r="B54" s="8" t="s">
        <v>17</v>
      </c>
      <c r="C54" s="8" t="s">
        <v>39</v>
      </c>
      <c r="D54" s="8" t="s">
        <v>44</v>
      </c>
      <c r="E54" s="8" t="s">
        <v>20</v>
      </c>
      <c r="F54" s="8">
        <v>9</v>
      </c>
      <c r="G54" s="9">
        <v>4.6100000000000003</v>
      </c>
      <c r="H54" s="9">
        <v>1</v>
      </c>
      <c r="I54" s="10">
        <f t="shared" si="11"/>
        <v>43.74</v>
      </c>
      <c r="J54" s="8">
        <v>56</v>
      </c>
      <c r="K54" s="8">
        <f t="shared" si="12"/>
        <v>205</v>
      </c>
      <c r="L54" s="16">
        <v>16</v>
      </c>
      <c r="M54" s="8">
        <v>221</v>
      </c>
      <c r="N54" s="11">
        <f t="shared" si="13"/>
        <v>0.1979185520361991</v>
      </c>
      <c r="O54" s="11">
        <f t="shared" si="14"/>
        <v>0.21336585365853661</v>
      </c>
      <c r="P54" s="12">
        <f t="shared" si="15"/>
        <v>352000</v>
      </c>
      <c r="Q54" s="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2.75" customHeight="1" x14ac:dyDescent="0.25">
      <c r="A55" s="7">
        <v>46023</v>
      </c>
      <c r="B55" s="8" t="s">
        <v>17</v>
      </c>
      <c r="C55" s="8" t="s">
        <v>39</v>
      </c>
      <c r="D55" s="8" t="s">
        <v>45</v>
      </c>
      <c r="E55" s="8" t="s">
        <v>20</v>
      </c>
      <c r="F55" s="8">
        <v>12</v>
      </c>
      <c r="G55" s="9">
        <v>4.5</v>
      </c>
      <c r="H55" s="9">
        <v>1</v>
      </c>
      <c r="I55" s="10">
        <f t="shared" si="11"/>
        <v>57</v>
      </c>
      <c r="J55" s="8">
        <v>81</v>
      </c>
      <c r="K55" s="8">
        <f t="shared" si="12"/>
        <v>138</v>
      </c>
      <c r="L55" s="16">
        <v>30</v>
      </c>
      <c r="M55" s="8">
        <v>168</v>
      </c>
      <c r="N55" s="11">
        <f t="shared" si="13"/>
        <v>0.3392857142857143</v>
      </c>
      <c r="O55" s="11">
        <f t="shared" si="14"/>
        <v>0.41304347826086957</v>
      </c>
      <c r="P55" s="12">
        <f t="shared" si="15"/>
        <v>660000</v>
      </c>
      <c r="Q55" s="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2.75" customHeight="1" x14ac:dyDescent="0.25">
      <c r="A56" s="7">
        <v>46023</v>
      </c>
      <c r="B56" s="8" t="s">
        <v>17</v>
      </c>
      <c r="C56" s="8" t="s">
        <v>39</v>
      </c>
      <c r="D56" s="8" t="s">
        <v>46</v>
      </c>
      <c r="E56" s="8" t="s">
        <v>20</v>
      </c>
      <c r="F56" s="8">
        <v>13</v>
      </c>
      <c r="G56" s="9">
        <v>9.1999999999999993</v>
      </c>
      <c r="H56" s="9">
        <v>2</v>
      </c>
      <c r="I56" s="10">
        <f t="shared" si="11"/>
        <v>122.85</v>
      </c>
      <c r="J56" s="8">
        <v>209</v>
      </c>
      <c r="K56" s="8">
        <f t="shared" si="12"/>
        <v>226</v>
      </c>
      <c r="L56" s="16">
        <v>88</v>
      </c>
      <c r="M56" s="8">
        <v>280</v>
      </c>
      <c r="N56" s="11">
        <f t="shared" si="13"/>
        <v>0.43874999999999997</v>
      </c>
      <c r="O56" s="11">
        <f t="shared" si="14"/>
        <v>0.54358407079646021</v>
      </c>
      <c r="P56" s="12">
        <f t="shared" si="15"/>
        <v>1936000</v>
      </c>
      <c r="Q56" s="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2.75" customHeight="1" x14ac:dyDescent="0.25">
      <c r="A57" s="7">
        <v>46023</v>
      </c>
      <c r="B57" s="8" t="s">
        <v>17</v>
      </c>
      <c r="C57" s="8" t="s">
        <v>39</v>
      </c>
      <c r="D57" s="8" t="s">
        <v>47</v>
      </c>
      <c r="E57" s="8" t="s">
        <v>20</v>
      </c>
      <c r="F57" s="8">
        <v>6</v>
      </c>
      <c r="G57" s="9">
        <f>20736/3600</f>
        <v>5.76</v>
      </c>
      <c r="H57" s="9">
        <v>1</v>
      </c>
      <c r="I57" s="10">
        <f t="shared" si="11"/>
        <v>36.06</v>
      </c>
      <c r="J57" s="8">
        <v>31</v>
      </c>
      <c r="K57" s="8">
        <f t="shared" si="12"/>
        <v>31</v>
      </c>
      <c r="L57" s="16">
        <v>4</v>
      </c>
      <c r="M57" s="8">
        <v>35</v>
      </c>
      <c r="N57" s="11">
        <f t="shared" si="13"/>
        <v>1.0302857142857142</v>
      </c>
      <c r="O57" s="11">
        <f t="shared" si="14"/>
        <v>1.163225806451613</v>
      </c>
      <c r="P57" s="12">
        <f t="shared" si="15"/>
        <v>88000</v>
      </c>
      <c r="Q57" s="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2.75" customHeight="1" x14ac:dyDescent="0.25">
      <c r="A58" s="7">
        <v>46023</v>
      </c>
      <c r="B58" s="8" t="s">
        <v>17</v>
      </c>
      <c r="C58" s="8" t="s">
        <v>18</v>
      </c>
      <c r="D58" s="8" t="s">
        <v>56</v>
      </c>
      <c r="E58" s="8" t="s">
        <v>20</v>
      </c>
      <c r="F58" s="8">
        <v>6</v>
      </c>
      <c r="G58" s="9"/>
      <c r="H58" s="9"/>
      <c r="I58" s="10">
        <v>64</v>
      </c>
      <c r="J58" s="8">
        <v>68</v>
      </c>
      <c r="K58" s="8">
        <f t="shared" si="12"/>
        <v>104</v>
      </c>
      <c r="L58" s="8">
        <v>49</v>
      </c>
      <c r="M58" s="8">
        <v>153</v>
      </c>
      <c r="N58" s="11">
        <f t="shared" si="13"/>
        <v>0.41830065359477125</v>
      </c>
      <c r="O58" s="11">
        <f t="shared" si="14"/>
        <v>0.61538461538461542</v>
      </c>
      <c r="P58" s="12">
        <f t="shared" si="15"/>
        <v>1078000</v>
      </c>
      <c r="Q58" s="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2.75" customHeight="1" x14ac:dyDescent="0.25">
      <c r="A59" s="7">
        <v>46023</v>
      </c>
      <c r="B59" s="8" t="s">
        <v>17</v>
      </c>
      <c r="C59" s="8" t="s">
        <v>18</v>
      </c>
      <c r="D59" s="8" t="s">
        <v>24</v>
      </c>
      <c r="E59" s="8" t="s">
        <v>20</v>
      </c>
      <c r="F59" s="8">
        <v>1</v>
      </c>
      <c r="G59" s="9"/>
      <c r="H59" s="9"/>
      <c r="I59" s="10">
        <v>7</v>
      </c>
      <c r="J59" s="8">
        <v>15</v>
      </c>
      <c r="K59" s="8">
        <f t="shared" si="12"/>
        <v>37</v>
      </c>
      <c r="L59" s="8">
        <v>0</v>
      </c>
      <c r="M59" s="8">
        <v>37</v>
      </c>
      <c r="N59" s="11">
        <f t="shared" si="13"/>
        <v>0.1891891891891892</v>
      </c>
      <c r="O59" s="11">
        <f t="shared" si="14"/>
        <v>0.1891891891891892</v>
      </c>
      <c r="P59" s="12">
        <f t="shared" si="15"/>
        <v>0</v>
      </c>
      <c r="Q59" s="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2.75" customHeight="1" x14ac:dyDescent="0.25">
      <c r="A60" s="7">
        <v>45992</v>
      </c>
      <c r="B60" s="8" t="s">
        <v>17</v>
      </c>
      <c r="C60" s="8" t="s">
        <v>18</v>
      </c>
      <c r="D60" s="8" t="s">
        <v>57</v>
      </c>
      <c r="E60" s="8" t="s">
        <v>20</v>
      </c>
      <c r="F60" s="8">
        <v>4</v>
      </c>
      <c r="G60" s="9"/>
      <c r="H60" s="9"/>
      <c r="I60" s="10">
        <f>(G60*F60)+0.25*F60</f>
        <v>1</v>
      </c>
      <c r="J60" s="8">
        <v>43</v>
      </c>
      <c r="K60" s="8">
        <f t="shared" si="12"/>
        <v>110</v>
      </c>
      <c r="L60" s="8">
        <v>68</v>
      </c>
      <c r="M60" s="8">
        <v>178</v>
      </c>
      <c r="N60" s="11">
        <f t="shared" si="13"/>
        <v>5.6179775280898875E-3</v>
      </c>
      <c r="O60" s="11">
        <f t="shared" si="14"/>
        <v>9.0909090909090905E-3</v>
      </c>
      <c r="P60" s="12">
        <f t="shared" si="15"/>
        <v>1496000</v>
      </c>
      <c r="Q60" s="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2.75" customHeight="1" x14ac:dyDescent="0.25">
      <c r="A61" s="7">
        <v>46023</v>
      </c>
      <c r="B61" s="8" t="s">
        <v>17</v>
      </c>
      <c r="C61" s="8" t="s">
        <v>18</v>
      </c>
      <c r="D61" s="8" t="s">
        <v>57</v>
      </c>
      <c r="E61" s="8" t="s">
        <v>20</v>
      </c>
      <c r="F61" s="8">
        <v>5</v>
      </c>
      <c r="G61" s="9"/>
      <c r="H61" s="9"/>
      <c r="I61" s="10">
        <v>28</v>
      </c>
      <c r="J61" s="8">
        <v>38</v>
      </c>
      <c r="K61" s="8">
        <f t="shared" si="12"/>
        <v>138</v>
      </c>
      <c r="L61" s="8">
        <v>10</v>
      </c>
      <c r="M61" s="8">
        <v>148</v>
      </c>
      <c r="N61" s="11">
        <f t="shared" si="13"/>
        <v>0.1891891891891892</v>
      </c>
      <c r="O61" s="11">
        <f t="shared" si="14"/>
        <v>0.20289855072463769</v>
      </c>
      <c r="P61" s="12">
        <f t="shared" si="15"/>
        <v>220000</v>
      </c>
      <c r="Q61" s="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2.75" customHeight="1" x14ac:dyDescent="0.25">
      <c r="A62" s="7">
        <v>46054</v>
      </c>
      <c r="B62" s="8" t="s">
        <v>35</v>
      </c>
      <c r="C62" s="8" t="s">
        <v>64</v>
      </c>
      <c r="D62" s="8" t="s">
        <v>65</v>
      </c>
      <c r="E62" s="8" t="s">
        <v>20</v>
      </c>
      <c r="F62" s="8">
        <v>204</v>
      </c>
      <c r="G62" s="9"/>
      <c r="H62" s="9">
        <v>3</v>
      </c>
      <c r="I62" s="10">
        <v>628</v>
      </c>
      <c r="J62" s="8">
        <v>639</v>
      </c>
      <c r="K62" s="8">
        <f t="shared" si="12"/>
        <v>732</v>
      </c>
      <c r="L62" s="8">
        <v>39</v>
      </c>
      <c r="M62" s="8">
        <v>585</v>
      </c>
      <c r="N62" s="11">
        <f t="shared" si="13"/>
        <v>1.0735042735042735</v>
      </c>
      <c r="O62" s="11">
        <f t="shared" si="14"/>
        <v>0.85792349726775952</v>
      </c>
      <c r="P62" s="12">
        <f t="shared" si="15"/>
        <v>858000</v>
      </c>
      <c r="Q62" s="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2.75" customHeight="1" x14ac:dyDescent="0.25">
      <c r="A63" s="7">
        <v>46082</v>
      </c>
      <c r="B63" s="8" t="s">
        <v>35</v>
      </c>
      <c r="C63" s="8" t="s">
        <v>64</v>
      </c>
      <c r="D63" s="8" t="s">
        <v>65</v>
      </c>
      <c r="E63" s="14" t="s">
        <v>20</v>
      </c>
      <c r="F63" s="8">
        <v>213</v>
      </c>
      <c r="G63" s="9"/>
      <c r="H63" s="9">
        <v>3</v>
      </c>
      <c r="I63" s="10">
        <v>633</v>
      </c>
      <c r="J63" s="8">
        <v>724</v>
      </c>
      <c r="K63" s="8">
        <f t="shared" si="12"/>
        <v>758.5</v>
      </c>
      <c r="L63" s="8">
        <v>47</v>
      </c>
      <c r="M63" s="8">
        <f>301+145+300.5+129-70</f>
        <v>805.5</v>
      </c>
      <c r="N63" s="11">
        <f t="shared" si="13"/>
        <v>0.78584729981378021</v>
      </c>
      <c r="O63" s="11">
        <f t="shared" si="14"/>
        <v>0.83454185893210286</v>
      </c>
      <c r="P63" s="12">
        <f t="shared" si="15"/>
        <v>1034000</v>
      </c>
      <c r="Q63" s="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2.75" customHeight="1" x14ac:dyDescent="0.25">
      <c r="A64" s="7">
        <v>46113</v>
      </c>
      <c r="B64" s="8" t="s">
        <v>58</v>
      </c>
      <c r="C64" s="8" t="s">
        <v>59</v>
      </c>
      <c r="D64" s="17" t="s">
        <v>60</v>
      </c>
      <c r="E64" s="8" t="s">
        <v>20</v>
      </c>
      <c r="F64" s="8">
        <v>17</v>
      </c>
      <c r="G64" s="9">
        <f>2.75*2</f>
        <v>5.5</v>
      </c>
      <c r="H64" s="9">
        <v>2</v>
      </c>
      <c r="I64" s="10">
        <f>(G64*F64)+0.25*F64</f>
        <v>97.75</v>
      </c>
      <c r="J64" s="8">
        <v>134</v>
      </c>
      <c r="K64" s="8">
        <f t="shared" si="12"/>
        <v>187</v>
      </c>
      <c r="L64" s="8">
        <v>0</v>
      </c>
      <c r="M64" s="8">
        <f>80+18+17-12+71+15+9-11</f>
        <v>187</v>
      </c>
      <c r="N64" s="11">
        <f t="shared" si="13"/>
        <v>0.52272727272727271</v>
      </c>
      <c r="O64" s="11">
        <f t="shared" si="14"/>
        <v>0.52272727272727271</v>
      </c>
      <c r="P64" s="12">
        <f t="shared" si="15"/>
        <v>0</v>
      </c>
      <c r="Q64" s="14" t="s">
        <v>61</v>
      </c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</row>
    <row r="65" spans="1:28" ht="12.75" customHeight="1" x14ac:dyDescent="0.25">
      <c r="A65" s="7">
        <v>46113</v>
      </c>
      <c r="B65" s="8" t="s">
        <v>58</v>
      </c>
      <c r="C65" s="8" t="s">
        <v>59</v>
      </c>
      <c r="D65" s="17" t="s">
        <v>62</v>
      </c>
      <c r="E65" s="8" t="s">
        <v>20</v>
      </c>
      <c r="F65" s="8">
        <v>17</v>
      </c>
      <c r="G65" s="9">
        <f>2.75*2</f>
        <v>5.5</v>
      </c>
      <c r="H65" s="9">
        <v>2</v>
      </c>
      <c r="I65" s="10">
        <f>(G65*F65)+0.25*F65</f>
        <v>97.75</v>
      </c>
      <c r="J65" s="8">
        <v>145</v>
      </c>
      <c r="K65" s="8">
        <f t="shared" si="12"/>
        <v>170.5</v>
      </c>
      <c r="L65" s="8">
        <v>3</v>
      </c>
      <c r="M65" s="8">
        <f>80+4.5+9-11+80+12+10-11</f>
        <v>173.5</v>
      </c>
      <c r="N65" s="11">
        <f t="shared" si="13"/>
        <v>0.56340057636887608</v>
      </c>
      <c r="O65" s="11">
        <f t="shared" si="14"/>
        <v>0.57331378299120239</v>
      </c>
      <c r="P65" s="12">
        <f t="shared" si="15"/>
        <v>66000</v>
      </c>
      <c r="Q65" s="14" t="s">
        <v>63</v>
      </c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</row>
    <row r="66" spans="1:28" ht="12.75" customHeight="1" x14ac:dyDescent="0.25">
      <c r="A66" s="7">
        <v>45992</v>
      </c>
      <c r="B66" s="8" t="s">
        <v>35</v>
      </c>
      <c r="C66" s="8" t="s">
        <v>66</v>
      </c>
      <c r="D66" s="8" t="s">
        <v>67</v>
      </c>
      <c r="E66" s="14" t="s">
        <v>20</v>
      </c>
      <c r="F66" s="8">
        <v>37</v>
      </c>
      <c r="G66" s="9"/>
      <c r="H66" s="9">
        <v>4</v>
      </c>
      <c r="I66" s="10">
        <v>339.4</v>
      </c>
      <c r="J66" s="8">
        <v>424</v>
      </c>
      <c r="K66" s="8">
        <f t="shared" si="12"/>
        <v>500</v>
      </c>
      <c r="L66" s="8">
        <v>82</v>
      </c>
      <c r="M66" s="8">
        <v>582</v>
      </c>
      <c r="N66" s="11">
        <f t="shared" si="13"/>
        <v>0.58316151202749134</v>
      </c>
      <c r="O66" s="11">
        <f t="shared" si="14"/>
        <v>0.67879999999999996</v>
      </c>
      <c r="P66" s="12">
        <f t="shared" si="15"/>
        <v>1804000</v>
      </c>
      <c r="Q66" s="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2.75" customHeight="1" x14ac:dyDescent="0.25">
      <c r="A67" s="7">
        <v>46023</v>
      </c>
      <c r="B67" s="8" t="s">
        <v>35</v>
      </c>
      <c r="C67" s="8" t="s">
        <v>66</v>
      </c>
      <c r="D67" s="8" t="s">
        <v>67</v>
      </c>
      <c r="E67" s="14" t="s">
        <v>20</v>
      </c>
      <c r="F67" s="8">
        <v>48</v>
      </c>
      <c r="G67" s="9"/>
      <c r="H67" s="9">
        <v>4</v>
      </c>
      <c r="I67" s="10">
        <v>523</v>
      </c>
      <c r="J67" s="8">
        <v>382</v>
      </c>
      <c r="K67" s="8">
        <f t="shared" si="12"/>
        <v>423</v>
      </c>
      <c r="L67" s="8">
        <v>25</v>
      </c>
      <c r="M67" s="8">
        <v>448</v>
      </c>
      <c r="N67" s="11">
        <f t="shared" si="13"/>
        <v>1.1674107142857142</v>
      </c>
      <c r="O67" s="11">
        <f t="shared" si="14"/>
        <v>1.2364066193853427</v>
      </c>
      <c r="P67" s="12">
        <f t="shared" si="15"/>
        <v>550000</v>
      </c>
      <c r="Q67" s="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2.75" customHeight="1" x14ac:dyDescent="0.25">
      <c r="A68" s="7">
        <v>46054</v>
      </c>
      <c r="B68" s="8" t="s">
        <v>35</v>
      </c>
      <c r="C68" s="8" t="s">
        <v>36</v>
      </c>
      <c r="D68" s="8" t="s">
        <v>37</v>
      </c>
      <c r="E68" s="8" t="s">
        <v>20</v>
      </c>
      <c r="F68" s="8">
        <v>219</v>
      </c>
      <c r="G68" s="9"/>
      <c r="H68" s="9">
        <v>6</v>
      </c>
      <c r="I68" s="10">
        <v>1094</v>
      </c>
      <c r="J68" s="8">
        <v>571</v>
      </c>
      <c r="K68" s="8">
        <f t="shared" si="12"/>
        <v>1089</v>
      </c>
      <c r="L68" s="8">
        <v>41</v>
      </c>
      <c r="M68" s="8">
        <v>1130</v>
      </c>
      <c r="N68" s="11">
        <f t="shared" si="13"/>
        <v>0.96814159292035395</v>
      </c>
      <c r="O68" s="11">
        <f t="shared" si="14"/>
        <v>1.0045913682277319</v>
      </c>
      <c r="P68" s="12">
        <f t="shared" si="15"/>
        <v>902000</v>
      </c>
      <c r="Q68" s="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2.75" customHeight="1" x14ac:dyDescent="0.25">
      <c r="A69" s="7">
        <v>46023</v>
      </c>
      <c r="B69" s="8" t="s">
        <v>17</v>
      </c>
      <c r="C69" s="8" t="s">
        <v>39</v>
      </c>
      <c r="D69" s="8" t="s">
        <v>48</v>
      </c>
      <c r="E69" s="8" t="s">
        <v>20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12"/>
        <v>234</v>
      </c>
      <c r="L69" s="16">
        <v>25</v>
      </c>
      <c r="M69" s="8">
        <v>259</v>
      </c>
      <c r="N69" s="11">
        <f t="shared" si="13"/>
        <v>0.437027027027027</v>
      </c>
      <c r="O69" s="11">
        <f t="shared" si="14"/>
        <v>0.48371794871794871</v>
      </c>
      <c r="P69" s="12">
        <f t="shared" si="15"/>
        <v>550000</v>
      </c>
      <c r="Q69" s="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2.75" customHeight="1" x14ac:dyDescent="0.25">
      <c r="A70" s="7">
        <v>46054</v>
      </c>
      <c r="B70" s="8" t="s">
        <v>35</v>
      </c>
      <c r="C70" s="8" t="s">
        <v>66</v>
      </c>
      <c r="D70" s="8" t="s">
        <v>67</v>
      </c>
      <c r="E70" s="14" t="s">
        <v>20</v>
      </c>
      <c r="F70" s="8">
        <v>52</v>
      </c>
      <c r="G70" s="9"/>
      <c r="H70" s="9">
        <v>4</v>
      </c>
      <c r="I70" s="10">
        <v>569</v>
      </c>
      <c r="J70" s="8">
        <v>626</v>
      </c>
      <c r="K70" s="8">
        <f t="shared" si="12"/>
        <v>670</v>
      </c>
      <c r="L70" s="8">
        <v>50</v>
      </c>
      <c r="M70" s="8">
        <v>720</v>
      </c>
      <c r="N70" s="11">
        <f t="shared" si="13"/>
        <v>0.79027777777777775</v>
      </c>
      <c r="O70" s="11">
        <f t="shared" si="14"/>
        <v>0.84925373134328364</v>
      </c>
      <c r="P70" s="12">
        <f t="shared" si="15"/>
        <v>1100000</v>
      </c>
      <c r="Q70" s="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2.75" customHeight="1" x14ac:dyDescent="0.25">
      <c r="A71" s="7">
        <v>46023</v>
      </c>
      <c r="B71" s="8" t="s">
        <v>17</v>
      </c>
      <c r="C71" s="8" t="s">
        <v>39</v>
      </c>
      <c r="D71" s="8" t="s">
        <v>51</v>
      </c>
      <c r="E71" s="8" t="s">
        <v>20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12"/>
        <v>68</v>
      </c>
      <c r="L71" s="16">
        <v>45</v>
      </c>
      <c r="M71" s="8">
        <v>107</v>
      </c>
      <c r="N71" s="11">
        <f t="shared" si="13"/>
        <v>0.64205607476635518</v>
      </c>
      <c r="O71" s="11">
        <f t="shared" si="14"/>
        <v>1.0102941176470588</v>
      </c>
      <c r="P71" s="12">
        <f t="shared" si="15"/>
        <v>990000</v>
      </c>
      <c r="Q71" s="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2.75" customHeight="1" x14ac:dyDescent="0.25">
      <c r="A72" s="7">
        <v>46023</v>
      </c>
      <c r="B72" s="8" t="s">
        <v>17</v>
      </c>
      <c r="C72" s="8" t="s">
        <v>39</v>
      </c>
      <c r="D72" s="8" t="s">
        <v>52</v>
      </c>
      <c r="E72" s="8" t="s">
        <v>20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12"/>
        <v>36</v>
      </c>
      <c r="L72" s="16">
        <v>33</v>
      </c>
      <c r="M72" s="8">
        <v>69</v>
      </c>
      <c r="N72" s="11">
        <f t="shared" si="13"/>
        <v>0.70289855072463769</v>
      </c>
      <c r="O72" s="11">
        <f t="shared" si="14"/>
        <v>1.3472222222222223</v>
      </c>
      <c r="P72" s="12">
        <f t="shared" si="15"/>
        <v>726000</v>
      </c>
      <c r="Q72" s="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2.75" customHeight="1" x14ac:dyDescent="0.25">
      <c r="A73" s="7">
        <v>46023</v>
      </c>
      <c r="B73" s="8" t="s">
        <v>17</v>
      </c>
      <c r="C73" s="8" t="s">
        <v>39</v>
      </c>
      <c r="D73" s="8" t="s">
        <v>53</v>
      </c>
      <c r="E73" s="8" t="s">
        <v>20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12"/>
        <v>103.5</v>
      </c>
      <c r="L73" s="16">
        <v>5.5</v>
      </c>
      <c r="M73" s="8">
        <v>109</v>
      </c>
      <c r="N73" s="11">
        <f t="shared" si="13"/>
        <v>0.40541284403669725</v>
      </c>
      <c r="O73" s="11">
        <f t="shared" si="14"/>
        <v>0.4269565217391304</v>
      </c>
      <c r="P73" s="12">
        <f t="shared" si="15"/>
        <v>121000</v>
      </c>
      <c r="Q73" s="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2.75" customHeight="1" x14ac:dyDescent="0.25">
      <c r="A74" s="7">
        <v>46054</v>
      </c>
      <c r="B74" s="8" t="s">
        <v>26</v>
      </c>
      <c r="C74" s="8" t="s">
        <v>27</v>
      </c>
      <c r="D74" s="8" t="s">
        <v>54</v>
      </c>
      <c r="E74" s="8" t="s">
        <v>20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12"/>
        <v>87</v>
      </c>
      <c r="L74" s="8">
        <v>76</v>
      </c>
      <c r="M74" s="8">
        <v>101</v>
      </c>
      <c r="N74" s="11">
        <f t="shared" si="13"/>
        <v>0.51485148514851486</v>
      </c>
      <c r="O74" s="11">
        <f t="shared" si="14"/>
        <v>0.5977011494252874</v>
      </c>
      <c r="P74" s="12">
        <f t="shared" si="15"/>
        <v>1672000</v>
      </c>
      <c r="Q74" s="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2.75" customHeight="1" x14ac:dyDescent="0.25">
      <c r="A75" s="7">
        <v>46054</v>
      </c>
      <c r="B75" s="8" t="s">
        <v>26</v>
      </c>
      <c r="C75" s="8" t="s">
        <v>27</v>
      </c>
      <c r="D75" s="8" t="s">
        <v>28</v>
      </c>
      <c r="E75" s="8" t="s">
        <v>20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12"/>
        <v>177</v>
      </c>
      <c r="L75" s="8">
        <v>32</v>
      </c>
      <c r="M75" s="8">
        <v>191</v>
      </c>
      <c r="N75" s="11">
        <f t="shared" si="13"/>
        <v>0.64397905759162299</v>
      </c>
      <c r="O75" s="11">
        <f t="shared" si="14"/>
        <v>0.69491525423728817</v>
      </c>
      <c r="P75" s="12">
        <f t="shared" si="15"/>
        <v>704000</v>
      </c>
      <c r="Q75" s="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2.75" customHeight="1" x14ac:dyDescent="0.25">
      <c r="A76" s="7">
        <v>46054</v>
      </c>
      <c r="B76" s="8" t="s">
        <v>26</v>
      </c>
      <c r="C76" s="8" t="s">
        <v>27</v>
      </c>
      <c r="D76" s="8" t="s">
        <v>29</v>
      </c>
      <c r="E76" s="8" t="s">
        <v>20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12"/>
        <v>164</v>
      </c>
      <c r="L76" s="8">
        <v>14</v>
      </c>
      <c r="M76" s="8">
        <v>158</v>
      </c>
      <c r="N76" s="11">
        <f t="shared" si="13"/>
        <v>0.65822784810126578</v>
      </c>
      <c r="O76" s="11">
        <f t="shared" si="14"/>
        <v>0.63414634146341464</v>
      </c>
      <c r="P76" s="12">
        <f t="shared" si="15"/>
        <v>308000</v>
      </c>
      <c r="Q76" s="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2.75" customHeight="1" x14ac:dyDescent="0.25">
      <c r="A77" s="7">
        <v>46054</v>
      </c>
      <c r="B77" s="8" t="s">
        <v>26</v>
      </c>
      <c r="C77" s="8" t="s">
        <v>27</v>
      </c>
      <c r="D77" s="8" t="s">
        <v>30</v>
      </c>
      <c r="E77" s="8" t="s">
        <v>20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12"/>
        <v>129</v>
      </c>
      <c r="L77" s="8">
        <v>18</v>
      </c>
      <c r="M77" s="8">
        <v>139</v>
      </c>
      <c r="N77" s="11">
        <f t="shared" si="13"/>
        <v>0.65467625899280579</v>
      </c>
      <c r="O77" s="11">
        <f t="shared" si="14"/>
        <v>0.70542635658914732</v>
      </c>
      <c r="P77" s="12">
        <f t="shared" si="15"/>
        <v>396000</v>
      </c>
      <c r="Q77" s="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2.75" customHeight="1" x14ac:dyDescent="0.25">
      <c r="A78" s="7">
        <v>46054</v>
      </c>
      <c r="B78" s="8" t="s">
        <v>26</v>
      </c>
      <c r="C78" s="8" t="s">
        <v>27</v>
      </c>
      <c r="D78" s="8" t="s">
        <v>31</v>
      </c>
      <c r="E78" s="8" t="s">
        <v>20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12"/>
        <v>116</v>
      </c>
      <c r="L78" s="8">
        <v>31</v>
      </c>
      <c r="M78" s="8">
        <v>123</v>
      </c>
      <c r="N78" s="11">
        <f t="shared" si="13"/>
        <v>0.63414634146341464</v>
      </c>
      <c r="O78" s="11">
        <f t="shared" si="14"/>
        <v>0.67241379310344829</v>
      </c>
      <c r="P78" s="12">
        <f t="shared" si="15"/>
        <v>682000</v>
      </c>
      <c r="Q78" s="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2.75" customHeight="1" x14ac:dyDescent="0.25">
      <c r="A79" s="7">
        <v>46054</v>
      </c>
      <c r="B79" s="8" t="s">
        <v>26</v>
      </c>
      <c r="C79" s="8" t="s">
        <v>27</v>
      </c>
      <c r="D79" s="8" t="s">
        <v>32</v>
      </c>
      <c r="E79" s="8" t="s">
        <v>20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12"/>
        <v>89</v>
      </c>
      <c r="L79" s="8">
        <v>31</v>
      </c>
      <c r="M79" s="8">
        <v>120</v>
      </c>
      <c r="N79" s="11">
        <f t="shared" si="13"/>
        <v>0.57499999999999996</v>
      </c>
      <c r="O79" s="11">
        <f t="shared" si="14"/>
        <v>0.7752808988764045</v>
      </c>
      <c r="P79" s="12">
        <f t="shared" si="15"/>
        <v>682000</v>
      </c>
      <c r="Q79" s="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2.75" customHeight="1" x14ac:dyDescent="0.25">
      <c r="A80" s="7">
        <v>46054</v>
      </c>
      <c r="B80" s="8" t="s">
        <v>26</v>
      </c>
      <c r="C80" s="8" t="s">
        <v>27</v>
      </c>
      <c r="D80" s="8" t="s">
        <v>33</v>
      </c>
      <c r="E80" s="8" t="s">
        <v>20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si="12"/>
        <v>127</v>
      </c>
      <c r="L80" s="8">
        <v>51</v>
      </c>
      <c r="M80" s="8">
        <v>164</v>
      </c>
      <c r="N80" s="11">
        <f t="shared" si="13"/>
        <v>0.57317073170731703</v>
      </c>
      <c r="O80" s="11">
        <f t="shared" si="14"/>
        <v>0.74015748031496065</v>
      </c>
      <c r="P80" s="12">
        <f t="shared" si="15"/>
        <v>1122000</v>
      </c>
      <c r="Q80" s="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2.75" customHeight="1" x14ac:dyDescent="0.25">
      <c r="A81" s="7">
        <v>46082</v>
      </c>
      <c r="B81" s="8" t="s">
        <v>35</v>
      </c>
      <c r="C81" s="8" t="s">
        <v>66</v>
      </c>
      <c r="D81" s="8" t="s">
        <v>67</v>
      </c>
      <c r="E81" s="14" t="s">
        <v>20</v>
      </c>
      <c r="F81" s="8">
        <v>48</v>
      </c>
      <c r="G81" s="9"/>
      <c r="H81" s="9">
        <v>4</v>
      </c>
      <c r="I81" s="10">
        <v>496</v>
      </c>
      <c r="J81" s="8">
        <v>496</v>
      </c>
      <c r="K81" s="8">
        <f t="shared" si="12"/>
        <v>603.5</v>
      </c>
      <c r="L81" s="8">
        <v>58</v>
      </c>
      <c r="M81" s="8">
        <f>185.5+208+209+129-70</f>
        <v>661.5</v>
      </c>
      <c r="N81" s="11">
        <f t="shared" si="13"/>
        <v>0.74981103552532125</v>
      </c>
      <c r="O81" s="11">
        <f t="shared" si="14"/>
        <v>0.82187241093620544</v>
      </c>
      <c r="P81" s="12">
        <f t="shared" si="15"/>
        <v>1276000</v>
      </c>
      <c r="Q81" s="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2.75" customHeight="1" x14ac:dyDescent="0.25">
      <c r="A82" s="7">
        <v>45992</v>
      </c>
      <c r="B82" s="8" t="s">
        <v>35</v>
      </c>
      <c r="C82" s="8" t="s">
        <v>66</v>
      </c>
      <c r="D82" s="8" t="s">
        <v>68</v>
      </c>
      <c r="E82" s="14" t="s">
        <v>20</v>
      </c>
      <c r="F82" s="8">
        <v>53</v>
      </c>
      <c r="G82" s="9"/>
      <c r="H82" s="9">
        <v>4</v>
      </c>
      <c r="I82" s="10">
        <v>575.6</v>
      </c>
      <c r="J82" s="8">
        <v>447</v>
      </c>
      <c r="K82" s="8">
        <f t="shared" ref="K82:K113" si="16">J82+ABS(M82-(J82+L82))</f>
        <v>524</v>
      </c>
      <c r="L82" s="8">
        <v>95</v>
      </c>
      <c r="M82" s="8">
        <v>619</v>
      </c>
      <c r="N82" s="11">
        <f t="shared" ref="N82:N113" si="17">+I82/M82</f>
        <v>0.92988691437802906</v>
      </c>
      <c r="O82" s="11">
        <f t="shared" ref="O82:O113" si="18">+I82/K82</f>
        <v>1.0984732824427481</v>
      </c>
      <c r="P82" s="12">
        <f t="shared" ref="P82:P113" si="19">+L82*22000</f>
        <v>2090000</v>
      </c>
      <c r="Q82" s="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2.75" customHeight="1" x14ac:dyDescent="0.25">
      <c r="A83" s="7">
        <v>46054</v>
      </c>
      <c r="B83" s="8" t="s">
        <v>17</v>
      </c>
      <c r="C83" s="8" t="s">
        <v>39</v>
      </c>
      <c r="D83" s="8" t="s">
        <v>40</v>
      </c>
      <c r="E83" s="8" t="s">
        <v>20</v>
      </c>
      <c r="F83" s="8">
        <v>24</v>
      </c>
      <c r="G83" s="9">
        <v>9.1999999999999993</v>
      </c>
      <c r="H83" s="9">
        <v>2</v>
      </c>
      <c r="I83" s="10">
        <f t="shared" ref="I83:I90" si="20">(G83*F83)+0.25*F83</f>
        <v>226.79999999999998</v>
      </c>
      <c r="J83" s="8">
        <v>226</v>
      </c>
      <c r="K83" s="8">
        <f t="shared" si="16"/>
        <v>254</v>
      </c>
      <c r="L83" s="16">
        <v>72</v>
      </c>
      <c r="M83" s="8">
        <v>326</v>
      </c>
      <c r="N83" s="11">
        <f t="shared" si="17"/>
        <v>0.69570552147239262</v>
      </c>
      <c r="O83" s="11">
        <f t="shared" si="18"/>
        <v>0.8929133858267716</v>
      </c>
      <c r="P83" s="12">
        <f t="shared" si="19"/>
        <v>1584000</v>
      </c>
      <c r="Q83" s="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2.75" customHeight="1" x14ac:dyDescent="0.25">
      <c r="A84" s="7">
        <v>46054</v>
      </c>
      <c r="B84" s="8" t="s">
        <v>17</v>
      </c>
      <c r="C84" s="8" t="s">
        <v>39</v>
      </c>
      <c r="D84" s="8" t="s">
        <v>41</v>
      </c>
      <c r="E84" s="8" t="s">
        <v>20</v>
      </c>
      <c r="F84" s="8">
        <v>28</v>
      </c>
      <c r="G84" s="9">
        <v>7.61</v>
      </c>
      <c r="H84" s="9">
        <v>2</v>
      </c>
      <c r="I84" s="10">
        <f t="shared" si="20"/>
        <v>220.08</v>
      </c>
      <c r="J84" s="8">
        <v>316</v>
      </c>
      <c r="K84" s="8">
        <f t="shared" si="16"/>
        <v>326</v>
      </c>
      <c r="L84" s="16">
        <v>62</v>
      </c>
      <c r="M84" s="8">
        <v>368</v>
      </c>
      <c r="N84" s="11">
        <f t="shared" si="17"/>
        <v>0.59804347826086957</v>
      </c>
      <c r="O84" s="11">
        <f t="shared" si="18"/>
        <v>0.67509202453987738</v>
      </c>
      <c r="P84" s="12">
        <f t="shared" si="19"/>
        <v>1364000</v>
      </c>
      <c r="Q84" s="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2.75" customHeight="1" x14ac:dyDescent="0.25">
      <c r="A85" s="7">
        <v>46054</v>
      </c>
      <c r="B85" s="8" t="s">
        <v>17</v>
      </c>
      <c r="C85" s="8" t="s">
        <v>39</v>
      </c>
      <c r="D85" s="8" t="s">
        <v>42</v>
      </c>
      <c r="E85" s="8" t="s">
        <v>20</v>
      </c>
      <c r="F85" s="8">
        <v>24</v>
      </c>
      <c r="G85" s="9">
        <v>12.98</v>
      </c>
      <c r="H85" s="9">
        <v>3</v>
      </c>
      <c r="I85" s="10">
        <f t="shared" si="20"/>
        <v>317.52</v>
      </c>
      <c r="J85" s="8">
        <v>487</v>
      </c>
      <c r="K85" s="8">
        <f t="shared" si="16"/>
        <v>505</v>
      </c>
      <c r="L85" s="16">
        <v>67</v>
      </c>
      <c r="M85" s="8">
        <v>536</v>
      </c>
      <c r="N85" s="11">
        <f t="shared" si="17"/>
        <v>0.59238805970149255</v>
      </c>
      <c r="O85" s="11">
        <f t="shared" si="18"/>
        <v>0.62875247524752476</v>
      </c>
      <c r="P85" s="12">
        <f t="shared" si="19"/>
        <v>1474000</v>
      </c>
      <c r="Q85" s="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2.75" customHeight="1" x14ac:dyDescent="0.25">
      <c r="A86" s="7">
        <v>46054</v>
      </c>
      <c r="B86" s="8" t="s">
        <v>17</v>
      </c>
      <c r="C86" s="8" t="s">
        <v>39</v>
      </c>
      <c r="D86" s="8" t="s">
        <v>43</v>
      </c>
      <c r="E86" s="8" t="s">
        <v>20</v>
      </c>
      <c r="F86" s="8">
        <v>22</v>
      </c>
      <c r="G86" s="9">
        <v>4.6900000000000004</v>
      </c>
      <c r="H86" s="9">
        <v>1</v>
      </c>
      <c r="I86" s="10">
        <f t="shared" si="20"/>
        <v>108.68</v>
      </c>
      <c r="J86" s="8">
        <v>181</v>
      </c>
      <c r="K86" s="8">
        <f t="shared" si="16"/>
        <v>196</v>
      </c>
      <c r="L86" s="16">
        <v>2</v>
      </c>
      <c r="M86" s="8">
        <v>198</v>
      </c>
      <c r="N86" s="11">
        <f t="shared" si="17"/>
        <v>0.54888888888888887</v>
      </c>
      <c r="O86" s="11">
        <f t="shared" si="18"/>
        <v>0.55448979591836733</v>
      </c>
      <c r="P86" s="12">
        <f t="shared" si="19"/>
        <v>44000</v>
      </c>
      <c r="Q86" s="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2.75" customHeight="1" x14ac:dyDescent="0.25">
      <c r="A87" s="7">
        <v>46054</v>
      </c>
      <c r="B87" s="8" t="s">
        <v>17</v>
      </c>
      <c r="C87" s="8" t="s">
        <v>39</v>
      </c>
      <c r="D87" s="8" t="s">
        <v>44</v>
      </c>
      <c r="E87" s="8" t="s">
        <v>20</v>
      </c>
      <c r="F87" s="8">
        <v>21</v>
      </c>
      <c r="G87" s="9">
        <v>4.6100000000000003</v>
      </c>
      <c r="H87" s="9">
        <v>1</v>
      </c>
      <c r="I87" s="10">
        <f t="shared" si="20"/>
        <v>102.06</v>
      </c>
      <c r="J87" s="8">
        <v>144</v>
      </c>
      <c r="K87" s="8">
        <f t="shared" si="16"/>
        <v>150</v>
      </c>
      <c r="L87" s="16">
        <v>33</v>
      </c>
      <c r="M87" s="8">
        <v>171</v>
      </c>
      <c r="N87" s="11">
        <f t="shared" si="17"/>
        <v>0.59684210526315795</v>
      </c>
      <c r="O87" s="11">
        <f t="shared" si="18"/>
        <v>0.6804</v>
      </c>
      <c r="P87" s="12">
        <f t="shared" si="19"/>
        <v>726000</v>
      </c>
      <c r="Q87" s="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2.75" customHeight="1" x14ac:dyDescent="0.25">
      <c r="A88" s="7">
        <v>46054</v>
      </c>
      <c r="B88" s="8" t="s">
        <v>17</v>
      </c>
      <c r="C88" s="8" t="s">
        <v>39</v>
      </c>
      <c r="D88" s="8" t="s">
        <v>45</v>
      </c>
      <c r="E88" s="8" t="s">
        <v>20</v>
      </c>
      <c r="F88" s="8">
        <v>16</v>
      </c>
      <c r="G88" s="9">
        <v>4.5</v>
      </c>
      <c r="H88" s="9">
        <v>1</v>
      </c>
      <c r="I88" s="10">
        <f t="shared" si="20"/>
        <v>76</v>
      </c>
      <c r="J88" s="8">
        <v>147</v>
      </c>
      <c r="K88" s="8">
        <f t="shared" si="16"/>
        <v>166</v>
      </c>
      <c r="L88" s="16">
        <v>34</v>
      </c>
      <c r="M88" s="8">
        <v>162</v>
      </c>
      <c r="N88" s="11">
        <f t="shared" si="17"/>
        <v>0.46913580246913578</v>
      </c>
      <c r="O88" s="11">
        <f t="shared" si="18"/>
        <v>0.45783132530120479</v>
      </c>
      <c r="P88" s="12">
        <f t="shared" si="19"/>
        <v>748000</v>
      </c>
      <c r="Q88" s="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2.75" customHeight="1" x14ac:dyDescent="0.25">
      <c r="A89" s="7">
        <v>46054</v>
      </c>
      <c r="B89" s="8" t="s">
        <v>17</v>
      </c>
      <c r="C89" s="8" t="s">
        <v>39</v>
      </c>
      <c r="D89" s="8" t="s">
        <v>46</v>
      </c>
      <c r="E89" s="8" t="s">
        <v>20</v>
      </c>
      <c r="F89" s="8">
        <v>19</v>
      </c>
      <c r="G89" s="9">
        <v>9.1999999999999993</v>
      </c>
      <c r="H89" s="9">
        <v>2</v>
      </c>
      <c r="I89" s="10">
        <f t="shared" si="20"/>
        <v>179.54999999999998</v>
      </c>
      <c r="J89" s="8">
        <v>285</v>
      </c>
      <c r="K89" s="8">
        <f t="shared" si="16"/>
        <v>383</v>
      </c>
      <c r="L89" s="16">
        <v>104</v>
      </c>
      <c r="M89" s="8">
        <v>291</v>
      </c>
      <c r="N89" s="11">
        <f t="shared" si="17"/>
        <v>0.61701030927835043</v>
      </c>
      <c r="O89" s="11">
        <f t="shared" si="18"/>
        <v>0.46879895561357698</v>
      </c>
      <c r="P89" s="12">
        <f t="shared" si="19"/>
        <v>2288000</v>
      </c>
      <c r="Q89" s="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2.75" customHeight="1" x14ac:dyDescent="0.25">
      <c r="A90" s="7">
        <v>46054</v>
      </c>
      <c r="B90" s="8" t="s">
        <v>17</v>
      </c>
      <c r="C90" s="8" t="s">
        <v>39</v>
      </c>
      <c r="D90" s="8" t="s">
        <v>47</v>
      </c>
      <c r="E90" s="8" t="s">
        <v>20</v>
      </c>
      <c r="F90" s="8">
        <v>24</v>
      </c>
      <c r="G90" s="9">
        <f>20736/3600</f>
        <v>5.76</v>
      </c>
      <c r="H90" s="9">
        <v>1</v>
      </c>
      <c r="I90" s="10">
        <f t="shared" si="20"/>
        <v>144.24</v>
      </c>
      <c r="J90" s="8">
        <v>158</v>
      </c>
      <c r="K90" s="8">
        <f t="shared" si="16"/>
        <v>159</v>
      </c>
      <c r="L90" s="16">
        <v>33</v>
      </c>
      <c r="M90" s="8">
        <v>190</v>
      </c>
      <c r="N90" s="11">
        <f t="shared" si="17"/>
        <v>0.75915789473684214</v>
      </c>
      <c r="O90" s="11">
        <f t="shared" si="18"/>
        <v>0.9071698113207548</v>
      </c>
      <c r="P90" s="12">
        <f t="shared" si="19"/>
        <v>726000</v>
      </c>
      <c r="Q90" s="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2.75" customHeight="1" x14ac:dyDescent="0.25">
      <c r="A91" s="7">
        <v>46023</v>
      </c>
      <c r="B91" s="8" t="s">
        <v>35</v>
      </c>
      <c r="C91" s="8" t="s">
        <v>66</v>
      </c>
      <c r="D91" s="8" t="s">
        <v>68</v>
      </c>
      <c r="E91" s="14" t="s">
        <v>20</v>
      </c>
      <c r="F91" s="8">
        <v>40</v>
      </c>
      <c r="G91" s="9"/>
      <c r="H91" s="9">
        <v>4</v>
      </c>
      <c r="I91" s="10">
        <v>444</v>
      </c>
      <c r="J91" s="8">
        <v>314</v>
      </c>
      <c r="K91" s="8">
        <f t="shared" si="16"/>
        <v>513</v>
      </c>
      <c r="L91" s="8">
        <v>19</v>
      </c>
      <c r="M91" s="8">
        <v>532</v>
      </c>
      <c r="N91" s="11">
        <f t="shared" si="17"/>
        <v>0.83458646616541354</v>
      </c>
      <c r="O91" s="11">
        <f t="shared" si="18"/>
        <v>0.86549707602339176</v>
      </c>
      <c r="P91" s="12">
        <f t="shared" si="19"/>
        <v>418000</v>
      </c>
      <c r="Q91" s="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2.75" customHeight="1" x14ac:dyDescent="0.25">
      <c r="A92" s="7">
        <v>46054</v>
      </c>
      <c r="B92" s="8" t="s">
        <v>35</v>
      </c>
      <c r="C92" s="8" t="s">
        <v>66</v>
      </c>
      <c r="D92" s="8" t="s">
        <v>68</v>
      </c>
      <c r="E92" s="14" t="s">
        <v>20</v>
      </c>
      <c r="F92" s="8">
        <v>64</v>
      </c>
      <c r="G92" s="9"/>
      <c r="H92" s="9">
        <v>4</v>
      </c>
      <c r="I92" s="10">
        <v>664</v>
      </c>
      <c r="J92" s="8">
        <v>583</v>
      </c>
      <c r="K92" s="8">
        <f t="shared" si="16"/>
        <v>593</v>
      </c>
      <c r="L92" s="8">
        <v>47</v>
      </c>
      <c r="M92" s="8">
        <v>640</v>
      </c>
      <c r="N92" s="11">
        <f t="shared" si="17"/>
        <v>1.0375000000000001</v>
      </c>
      <c r="O92" s="11">
        <f t="shared" si="18"/>
        <v>1.1197301854974704</v>
      </c>
      <c r="P92" s="12">
        <f t="shared" si="19"/>
        <v>1034000</v>
      </c>
      <c r="Q92" s="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2.75" customHeight="1" x14ac:dyDescent="0.25">
      <c r="A93" s="7">
        <v>46082</v>
      </c>
      <c r="B93" s="8" t="s">
        <v>35</v>
      </c>
      <c r="C93" s="8" t="s">
        <v>66</v>
      </c>
      <c r="D93" s="8" t="s">
        <v>68</v>
      </c>
      <c r="E93" s="14" t="s">
        <v>20</v>
      </c>
      <c r="F93" s="8">
        <v>66</v>
      </c>
      <c r="G93" s="9"/>
      <c r="H93" s="9">
        <v>4</v>
      </c>
      <c r="I93" s="10">
        <v>757</v>
      </c>
      <c r="J93" s="8">
        <v>644</v>
      </c>
      <c r="K93" s="8">
        <f t="shared" si="16"/>
        <v>651</v>
      </c>
      <c r="L93" s="8">
        <v>51</v>
      </c>
      <c r="M93" s="8">
        <f>166+244+215.5+156.5-80</f>
        <v>702</v>
      </c>
      <c r="N93" s="11">
        <f t="shared" si="17"/>
        <v>1.0783475783475784</v>
      </c>
      <c r="O93" s="11">
        <f t="shared" si="18"/>
        <v>1.1628264208909371</v>
      </c>
      <c r="P93" s="12">
        <f t="shared" si="19"/>
        <v>1122000</v>
      </c>
      <c r="Q93" s="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2.75" customHeight="1" x14ac:dyDescent="0.25">
      <c r="A94" s="7">
        <v>45992</v>
      </c>
      <c r="B94" s="8" t="s">
        <v>35</v>
      </c>
      <c r="C94" s="8" t="s">
        <v>66</v>
      </c>
      <c r="D94" s="8" t="s">
        <v>69</v>
      </c>
      <c r="E94" s="14" t="s">
        <v>20</v>
      </c>
      <c r="F94" s="8">
        <v>59</v>
      </c>
      <c r="G94" s="9"/>
      <c r="H94" s="9">
        <v>4</v>
      </c>
      <c r="I94" s="10">
        <v>518.79999999999995</v>
      </c>
      <c r="J94" s="8">
        <v>318</v>
      </c>
      <c r="K94" s="8">
        <f t="shared" si="16"/>
        <v>517</v>
      </c>
      <c r="L94" s="8">
        <v>87</v>
      </c>
      <c r="M94" s="8">
        <v>604</v>
      </c>
      <c r="N94" s="11">
        <f t="shared" si="17"/>
        <v>0.85894039735099326</v>
      </c>
      <c r="O94" s="11">
        <f t="shared" si="18"/>
        <v>1.0034816247582203</v>
      </c>
      <c r="P94" s="12">
        <f t="shared" si="19"/>
        <v>1914000</v>
      </c>
      <c r="Q94" s="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2.75" customHeight="1" x14ac:dyDescent="0.25">
      <c r="A95" s="7">
        <v>46023</v>
      </c>
      <c r="B95" s="8" t="s">
        <v>35</v>
      </c>
      <c r="C95" s="8" t="s">
        <v>66</v>
      </c>
      <c r="D95" s="8" t="s">
        <v>69</v>
      </c>
      <c r="E95" s="14" t="s">
        <v>20</v>
      </c>
      <c r="F95" s="8">
        <v>51</v>
      </c>
      <c r="G95" s="9"/>
      <c r="H95" s="9">
        <v>4</v>
      </c>
      <c r="I95" s="10">
        <v>508</v>
      </c>
      <c r="J95" s="8">
        <v>379</v>
      </c>
      <c r="K95" s="8">
        <f t="shared" si="16"/>
        <v>436</v>
      </c>
      <c r="L95" s="8">
        <v>35</v>
      </c>
      <c r="M95" s="8">
        <v>471</v>
      </c>
      <c r="N95" s="11">
        <f t="shared" si="17"/>
        <v>1.078556263269639</v>
      </c>
      <c r="O95" s="11">
        <f t="shared" si="18"/>
        <v>1.165137614678899</v>
      </c>
      <c r="P95" s="12">
        <f t="shared" si="19"/>
        <v>770000</v>
      </c>
      <c r="Q95" s="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2.75" customHeight="1" x14ac:dyDescent="0.25">
      <c r="A96" s="7">
        <v>46054</v>
      </c>
      <c r="B96" s="8" t="s">
        <v>35</v>
      </c>
      <c r="C96" s="8" t="s">
        <v>66</v>
      </c>
      <c r="D96" s="8" t="s">
        <v>69</v>
      </c>
      <c r="E96" s="14" t="s">
        <v>20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 t="shared" si="16"/>
        <v>585</v>
      </c>
      <c r="L96" s="8">
        <v>49</v>
      </c>
      <c r="M96" s="8">
        <v>634</v>
      </c>
      <c r="N96" s="11">
        <f t="shared" si="17"/>
        <v>0.8848580441640379</v>
      </c>
      <c r="O96" s="11">
        <f t="shared" si="18"/>
        <v>0.95897435897435901</v>
      </c>
      <c r="P96" s="12">
        <f t="shared" si="19"/>
        <v>1078000</v>
      </c>
      <c r="Q96" s="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2.75" customHeight="1" x14ac:dyDescent="0.25">
      <c r="A97" s="7">
        <v>46082</v>
      </c>
      <c r="B97" s="8" t="s">
        <v>35</v>
      </c>
      <c r="C97" s="8" t="s">
        <v>66</v>
      </c>
      <c r="D97" s="8" t="s">
        <v>69</v>
      </c>
      <c r="E97" s="14" t="s">
        <v>20</v>
      </c>
      <c r="F97" s="8">
        <v>78</v>
      </c>
      <c r="G97" s="9"/>
      <c r="H97" s="9">
        <v>4</v>
      </c>
      <c r="I97" s="10">
        <v>814</v>
      </c>
      <c r="J97" s="8">
        <v>734</v>
      </c>
      <c r="K97" s="8">
        <f t="shared" si="16"/>
        <v>765</v>
      </c>
      <c r="L97" s="8">
        <v>82</v>
      </c>
      <c r="M97" s="8">
        <f>254.5+274.5+199+199-80</f>
        <v>847</v>
      </c>
      <c r="N97" s="11">
        <f t="shared" si="17"/>
        <v>0.96103896103896103</v>
      </c>
      <c r="O97" s="11">
        <f t="shared" si="18"/>
        <v>1.0640522875816993</v>
      </c>
      <c r="P97" s="12">
        <f t="shared" si="19"/>
        <v>1804000</v>
      </c>
      <c r="Q97" s="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2.75" customHeight="1" x14ac:dyDescent="0.25">
      <c r="A98" s="7">
        <v>46054</v>
      </c>
      <c r="B98" s="8" t="s">
        <v>17</v>
      </c>
      <c r="C98" s="8" t="s">
        <v>39</v>
      </c>
      <c r="D98" s="8" t="s">
        <v>48</v>
      </c>
      <c r="E98" s="8" t="s">
        <v>20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si="16"/>
        <v>267</v>
      </c>
      <c r="L98" s="16">
        <v>207</v>
      </c>
      <c r="M98" s="8">
        <v>474</v>
      </c>
      <c r="N98" s="11">
        <f t="shared" si="17"/>
        <v>0.4993037974683544</v>
      </c>
      <c r="O98" s="11">
        <f t="shared" si="18"/>
        <v>0.8864044943820224</v>
      </c>
      <c r="P98" s="12">
        <f t="shared" si="19"/>
        <v>4554000</v>
      </c>
      <c r="Q98" s="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2.75" customHeight="1" x14ac:dyDescent="0.25">
      <c r="A99" s="7">
        <v>45992</v>
      </c>
      <c r="B99" s="8" t="s">
        <v>35</v>
      </c>
      <c r="C99" s="8" t="s">
        <v>66</v>
      </c>
      <c r="D99" s="8" t="s">
        <v>88</v>
      </c>
      <c r="E99" s="14" t="s">
        <v>20</v>
      </c>
      <c r="F99" s="8">
        <v>16</v>
      </c>
      <c r="G99" s="9"/>
      <c r="H99" s="9">
        <v>2</v>
      </c>
      <c r="I99" s="10">
        <v>88.2</v>
      </c>
      <c r="J99" s="8">
        <v>68</v>
      </c>
      <c r="K99" s="8">
        <f t="shared" si="16"/>
        <v>241</v>
      </c>
      <c r="L99" s="8">
        <v>55</v>
      </c>
      <c r="M99" s="8">
        <v>296</v>
      </c>
      <c r="N99" s="11">
        <f t="shared" si="17"/>
        <v>0.29797297297297298</v>
      </c>
      <c r="O99" s="11">
        <f t="shared" si="18"/>
        <v>0.36597510373443987</v>
      </c>
      <c r="P99" s="12">
        <f t="shared" si="19"/>
        <v>1210000</v>
      </c>
      <c r="Q99" s="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2.75" customHeight="1" x14ac:dyDescent="0.25">
      <c r="A100" s="7">
        <v>46054</v>
      </c>
      <c r="B100" s="8" t="s">
        <v>17</v>
      </c>
      <c r="C100" s="8" t="s">
        <v>39</v>
      </c>
      <c r="D100" s="8" t="s">
        <v>51</v>
      </c>
      <c r="E100" s="8" t="s">
        <v>20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16"/>
        <v>100</v>
      </c>
      <c r="L100" s="16">
        <v>103</v>
      </c>
      <c r="M100" s="8">
        <v>203</v>
      </c>
      <c r="N100" s="11">
        <f t="shared" si="17"/>
        <v>0.51891625615763548</v>
      </c>
      <c r="O100" s="11">
        <f t="shared" si="18"/>
        <v>1.0534000000000001</v>
      </c>
      <c r="P100" s="12">
        <f t="shared" si="19"/>
        <v>2266000</v>
      </c>
      <c r="Q100" s="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2.75" customHeight="1" x14ac:dyDescent="0.25">
      <c r="A101" s="7">
        <v>46054</v>
      </c>
      <c r="B101" s="8" t="s">
        <v>17</v>
      </c>
      <c r="C101" s="8" t="s">
        <v>39</v>
      </c>
      <c r="D101" s="8" t="s">
        <v>52</v>
      </c>
      <c r="E101" s="8" t="s">
        <v>20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16"/>
        <v>133</v>
      </c>
      <c r="L101" s="16">
        <v>54</v>
      </c>
      <c r="M101" s="8">
        <v>151</v>
      </c>
      <c r="N101" s="11">
        <f t="shared" si="17"/>
        <v>0.7708609271523178</v>
      </c>
      <c r="O101" s="11">
        <f t="shared" si="18"/>
        <v>0.87518796992481196</v>
      </c>
      <c r="P101" s="12">
        <f t="shared" si="19"/>
        <v>1188000</v>
      </c>
      <c r="Q101" s="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2.75" customHeight="1" x14ac:dyDescent="0.25">
      <c r="A102" s="7">
        <v>46054</v>
      </c>
      <c r="B102" s="8" t="s">
        <v>17</v>
      </c>
      <c r="C102" s="8" t="s">
        <v>39</v>
      </c>
      <c r="D102" s="8" t="s">
        <v>53</v>
      </c>
      <c r="E102" s="8" t="s">
        <v>20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16"/>
        <v>142</v>
      </c>
      <c r="L102" s="16">
        <v>12</v>
      </c>
      <c r="M102" s="8">
        <v>154</v>
      </c>
      <c r="N102" s="11">
        <f t="shared" si="17"/>
        <v>0.79707792207792205</v>
      </c>
      <c r="O102" s="11">
        <f t="shared" si="18"/>
        <v>0.86443661971830987</v>
      </c>
      <c r="P102" s="12">
        <f t="shared" si="19"/>
        <v>264000</v>
      </c>
      <c r="Q102" s="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2.75" customHeight="1" x14ac:dyDescent="0.25">
      <c r="A103" s="7">
        <v>46082</v>
      </c>
      <c r="B103" s="8" t="s">
        <v>26</v>
      </c>
      <c r="C103" s="8" t="s">
        <v>27</v>
      </c>
      <c r="D103" s="8" t="s">
        <v>54</v>
      </c>
      <c r="E103" s="8" t="s">
        <v>20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16"/>
        <v>267</v>
      </c>
      <c r="L103" s="8">
        <v>55</v>
      </c>
      <c r="M103" s="8">
        <f>37-4+129-14</f>
        <v>148</v>
      </c>
      <c r="N103" s="11">
        <f t="shared" si="17"/>
        <v>0.45608108108108109</v>
      </c>
      <c r="O103" s="11">
        <f t="shared" si="18"/>
        <v>0.25280898876404495</v>
      </c>
      <c r="P103" s="12">
        <f t="shared" si="19"/>
        <v>1210000</v>
      </c>
      <c r="Q103" s="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2.75" customHeight="1" x14ac:dyDescent="0.25">
      <c r="A104" s="7">
        <v>46082</v>
      </c>
      <c r="B104" s="8" t="s">
        <v>26</v>
      </c>
      <c r="C104" s="8" t="s">
        <v>27</v>
      </c>
      <c r="D104" s="8" t="s">
        <v>28</v>
      </c>
      <c r="E104" s="8" t="s">
        <v>20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16"/>
        <v>232</v>
      </c>
      <c r="L104" s="8">
        <v>48</v>
      </c>
      <c r="M104" s="8">
        <f>272-20</f>
        <v>252</v>
      </c>
      <c r="N104" s="11">
        <f t="shared" si="17"/>
        <v>0.70833333333333337</v>
      </c>
      <c r="O104" s="11">
        <f t="shared" si="18"/>
        <v>0.7693965517241379</v>
      </c>
      <c r="P104" s="12">
        <f t="shared" si="19"/>
        <v>1056000</v>
      </c>
      <c r="Q104" s="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2.75" customHeight="1" x14ac:dyDescent="0.25">
      <c r="A105" s="7">
        <v>46082</v>
      </c>
      <c r="B105" s="8" t="s">
        <v>26</v>
      </c>
      <c r="C105" s="8" t="s">
        <v>27</v>
      </c>
      <c r="D105" s="8" t="s">
        <v>29</v>
      </c>
      <c r="E105" s="8" t="s">
        <v>20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16"/>
        <v>168</v>
      </c>
      <c r="L105" s="8">
        <v>48</v>
      </c>
      <c r="M105" s="8">
        <f>234-20</f>
        <v>214</v>
      </c>
      <c r="N105" s="11">
        <f t="shared" si="17"/>
        <v>0.60901869158878508</v>
      </c>
      <c r="O105" s="11">
        <f t="shared" si="18"/>
        <v>0.77577380952380959</v>
      </c>
      <c r="P105" s="12">
        <f t="shared" si="19"/>
        <v>1056000</v>
      </c>
      <c r="Q105" s="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2.75" customHeight="1" x14ac:dyDescent="0.25">
      <c r="A106" s="7">
        <v>46082</v>
      </c>
      <c r="B106" s="8" t="s">
        <v>26</v>
      </c>
      <c r="C106" s="8" t="s">
        <v>27</v>
      </c>
      <c r="D106" s="8" t="s">
        <v>30</v>
      </c>
      <c r="E106" s="8" t="s">
        <v>20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16"/>
        <v>195</v>
      </c>
      <c r="L106" s="8">
        <v>19</v>
      </c>
      <c r="M106" s="8">
        <f>204-20-8</f>
        <v>176</v>
      </c>
      <c r="N106" s="11">
        <f t="shared" si="17"/>
        <v>0.74051136363636372</v>
      </c>
      <c r="O106" s="11">
        <f t="shared" si="18"/>
        <v>0.6683589743589744</v>
      </c>
      <c r="P106" s="12">
        <f t="shared" si="19"/>
        <v>418000</v>
      </c>
      <c r="Q106" s="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2.75" customHeight="1" x14ac:dyDescent="0.25">
      <c r="A107" s="7">
        <v>46082</v>
      </c>
      <c r="B107" s="8" t="s">
        <v>26</v>
      </c>
      <c r="C107" s="8" t="s">
        <v>27</v>
      </c>
      <c r="D107" s="8" t="s">
        <v>31</v>
      </c>
      <c r="E107" s="8" t="s">
        <v>20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16"/>
        <v>171.5</v>
      </c>
      <c r="L107" s="8">
        <v>14</v>
      </c>
      <c r="M107" s="8">
        <f>62-6+20-3+132.5-20</f>
        <v>185.5</v>
      </c>
      <c r="N107" s="11">
        <f t="shared" si="17"/>
        <v>0.6132075471698113</v>
      </c>
      <c r="O107" s="11">
        <f t="shared" si="18"/>
        <v>0.66326530612244894</v>
      </c>
      <c r="P107" s="12">
        <f t="shared" si="19"/>
        <v>308000</v>
      </c>
      <c r="Q107" s="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2.75" customHeight="1" x14ac:dyDescent="0.25">
      <c r="A108" s="7">
        <v>46082</v>
      </c>
      <c r="B108" s="8" t="s">
        <v>26</v>
      </c>
      <c r="C108" s="8" t="s">
        <v>27</v>
      </c>
      <c r="D108" s="8" t="s">
        <v>32</v>
      </c>
      <c r="E108" s="8" t="s">
        <v>20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16"/>
        <v>146.5</v>
      </c>
      <c r="L108" s="8">
        <v>37</v>
      </c>
      <c r="M108" s="8">
        <f>168.5-20+8</f>
        <v>156.5</v>
      </c>
      <c r="N108" s="11">
        <f t="shared" si="17"/>
        <v>0.42530351437699682</v>
      </c>
      <c r="O108" s="11">
        <f t="shared" si="18"/>
        <v>0.4543344709897611</v>
      </c>
      <c r="P108" s="12">
        <f t="shared" si="19"/>
        <v>814000</v>
      </c>
      <c r="Q108" s="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2.75" customHeight="1" x14ac:dyDescent="0.25">
      <c r="A109" s="7">
        <v>46082</v>
      </c>
      <c r="B109" s="8" t="s">
        <v>26</v>
      </c>
      <c r="C109" s="8" t="s">
        <v>27</v>
      </c>
      <c r="D109" s="8" t="s">
        <v>33</v>
      </c>
      <c r="E109" s="8" t="s">
        <v>20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16"/>
        <v>132</v>
      </c>
      <c r="L109" s="8">
        <v>67</v>
      </c>
      <c r="M109" s="8">
        <f>155-14</f>
        <v>141</v>
      </c>
      <c r="N109" s="11">
        <f t="shared" si="17"/>
        <v>0.61276595744680851</v>
      </c>
      <c r="O109" s="11">
        <f t="shared" si="18"/>
        <v>0.65454545454545454</v>
      </c>
      <c r="P109" s="12">
        <f t="shared" si="19"/>
        <v>1474000</v>
      </c>
      <c r="Q109" s="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2.75" customHeight="1" x14ac:dyDescent="0.25">
      <c r="A110" s="7">
        <v>46082</v>
      </c>
      <c r="B110" s="8" t="s">
        <v>35</v>
      </c>
      <c r="C110" s="8" t="s">
        <v>36</v>
      </c>
      <c r="D110" s="8" t="s">
        <v>37</v>
      </c>
      <c r="E110" s="14" t="s">
        <v>20</v>
      </c>
      <c r="F110" s="8">
        <v>201</v>
      </c>
      <c r="G110" s="9"/>
      <c r="H110" s="9">
        <v>6</v>
      </c>
      <c r="I110" s="10">
        <v>957</v>
      </c>
      <c r="J110" s="8">
        <v>602</v>
      </c>
      <c r="K110" s="8">
        <f t="shared" si="16"/>
        <v>1229</v>
      </c>
      <c r="L110" s="8">
        <v>36</v>
      </c>
      <c r="M110" s="8">
        <f>185+240+289+243+251+177-120</f>
        <v>1265</v>
      </c>
      <c r="N110" s="11">
        <f t="shared" si="17"/>
        <v>0.75652173913043474</v>
      </c>
      <c r="O110" s="11">
        <f t="shared" si="18"/>
        <v>0.77868185516680233</v>
      </c>
      <c r="P110" s="12">
        <f t="shared" si="19"/>
        <v>792000</v>
      </c>
      <c r="Q110" s="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2.75" customHeight="1" x14ac:dyDescent="0.25">
      <c r="A111" s="7">
        <v>46023</v>
      </c>
      <c r="B111" s="8" t="s">
        <v>35</v>
      </c>
      <c r="C111" s="8" t="s">
        <v>66</v>
      </c>
      <c r="D111" s="8" t="s">
        <v>88</v>
      </c>
      <c r="E111" s="14" t="s">
        <v>20</v>
      </c>
      <c r="F111" s="8">
        <v>21</v>
      </c>
      <c r="G111" s="9"/>
      <c r="H111" s="9">
        <v>2</v>
      </c>
      <c r="I111" s="10">
        <v>121</v>
      </c>
      <c r="J111" s="8">
        <v>121</v>
      </c>
      <c r="K111" s="8">
        <f t="shared" si="16"/>
        <v>123</v>
      </c>
      <c r="L111" s="8">
        <v>1</v>
      </c>
      <c r="M111" s="8">
        <v>124</v>
      </c>
      <c r="N111" s="11">
        <f t="shared" si="17"/>
        <v>0.97580645161290325</v>
      </c>
      <c r="O111" s="11">
        <f t="shared" si="18"/>
        <v>0.98373983739837401</v>
      </c>
      <c r="P111" s="12">
        <f t="shared" si="19"/>
        <v>22000</v>
      </c>
      <c r="Q111" s="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2.75" customHeight="1" x14ac:dyDescent="0.25">
      <c r="A112" s="7">
        <v>46113</v>
      </c>
      <c r="B112" s="8" t="s">
        <v>58</v>
      </c>
      <c r="C112" s="8" t="s">
        <v>59</v>
      </c>
      <c r="D112" s="17" t="s">
        <v>70</v>
      </c>
      <c r="E112" s="8" t="s">
        <v>20</v>
      </c>
      <c r="F112" s="8">
        <v>16</v>
      </c>
      <c r="G112" s="9">
        <v>7</v>
      </c>
      <c r="H112" s="9">
        <v>2</v>
      </c>
      <c r="I112" s="10">
        <f>(G112*F112)+0.25*F112</f>
        <v>116</v>
      </c>
      <c r="J112" s="8">
        <v>158</v>
      </c>
      <c r="K112" s="8">
        <f t="shared" si="16"/>
        <v>170</v>
      </c>
      <c r="L112" s="8">
        <v>48</v>
      </c>
      <c r="M112" s="8">
        <f>80+17+16-12+80+13+11-11</f>
        <v>194</v>
      </c>
      <c r="N112" s="11">
        <f t="shared" si="17"/>
        <v>0.59793814432989689</v>
      </c>
      <c r="O112" s="11">
        <f t="shared" si="18"/>
        <v>0.68235294117647061</v>
      </c>
      <c r="P112" s="12">
        <f t="shared" si="19"/>
        <v>1056000</v>
      </c>
      <c r="Q112" s="14" t="s">
        <v>71</v>
      </c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</row>
    <row r="113" spans="1:28" ht="12.75" customHeight="1" x14ac:dyDescent="0.25">
      <c r="A113" s="7">
        <v>46113</v>
      </c>
      <c r="B113" s="8" t="s">
        <v>58</v>
      </c>
      <c r="C113" s="8" t="s">
        <v>59</v>
      </c>
      <c r="D113" s="17" t="s">
        <v>72</v>
      </c>
      <c r="E113" s="8" t="s">
        <v>20</v>
      </c>
      <c r="F113" s="8">
        <v>16</v>
      </c>
      <c r="G113" s="9">
        <v>7</v>
      </c>
      <c r="H113" s="9">
        <v>2</v>
      </c>
      <c r="I113" s="10">
        <f>(G113*F113)+0.25*F113</f>
        <v>116</v>
      </c>
      <c r="J113" s="8">
        <v>188</v>
      </c>
      <c r="K113" s="8">
        <f t="shared" si="16"/>
        <v>212</v>
      </c>
      <c r="L113" s="8">
        <v>25</v>
      </c>
      <c r="M113" s="8">
        <f>80+18+8+80+12+14-23</f>
        <v>189</v>
      </c>
      <c r="N113" s="11">
        <f t="shared" si="17"/>
        <v>0.61375661375661372</v>
      </c>
      <c r="O113" s="11">
        <f t="shared" si="18"/>
        <v>0.54716981132075471</v>
      </c>
      <c r="P113" s="12">
        <f t="shared" si="19"/>
        <v>550000</v>
      </c>
      <c r="Q113" s="14" t="s">
        <v>73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</row>
    <row r="114" spans="1:28" ht="12.75" customHeight="1" x14ac:dyDescent="0.25">
      <c r="A114" s="7">
        <v>46113</v>
      </c>
      <c r="B114" s="8" t="s">
        <v>58</v>
      </c>
      <c r="C114" s="8" t="s">
        <v>59</v>
      </c>
      <c r="D114" s="17" t="s">
        <v>74</v>
      </c>
      <c r="E114" s="14" t="s">
        <v>22</v>
      </c>
      <c r="F114" s="8">
        <v>17</v>
      </c>
      <c r="G114" s="9">
        <v>16</v>
      </c>
      <c r="H114" s="9">
        <v>4</v>
      </c>
      <c r="I114" s="10">
        <f>(G114*F114)+0.25*F114</f>
        <v>276.25</v>
      </c>
      <c r="J114" s="8">
        <v>363</v>
      </c>
      <c r="K114" s="8">
        <f t="shared" ref="K114:K135" si="21">J114+ABS(M114-(J114+L114))</f>
        <v>397.5</v>
      </c>
      <c r="L114" s="8">
        <v>53</v>
      </c>
      <c r="M114" s="8">
        <f>80+13+10-11+80+27.5+22-12+80+16+11-11+79+7-10</f>
        <v>381.5</v>
      </c>
      <c r="N114" s="11">
        <f t="shared" ref="N114:N135" si="22">+I114/M114</f>
        <v>0.7241153342070773</v>
      </c>
      <c r="O114" s="11">
        <f t="shared" ref="O114:O135" si="23">+I114/K114</f>
        <v>0.69496855345911945</v>
      </c>
      <c r="P114" s="12">
        <f t="shared" ref="P114:P135" si="24">+L114*22000</f>
        <v>1166000</v>
      </c>
      <c r="Q114" s="14" t="s">
        <v>75</v>
      </c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</row>
    <row r="115" spans="1:28" ht="12.75" customHeight="1" x14ac:dyDescent="0.25">
      <c r="A115" s="7">
        <v>46113</v>
      </c>
      <c r="B115" s="8" t="s">
        <v>58</v>
      </c>
      <c r="C115" s="8" t="s">
        <v>59</v>
      </c>
      <c r="D115" s="17" t="s">
        <v>76</v>
      </c>
      <c r="E115" s="8" t="s">
        <v>20</v>
      </c>
      <c r="F115" s="8">
        <v>16</v>
      </c>
      <c r="G115" s="9">
        <v>4</v>
      </c>
      <c r="H115" s="9">
        <v>1</v>
      </c>
      <c r="I115" s="10">
        <f>(G115*F115)+0.25*F115</f>
        <v>68</v>
      </c>
      <c r="J115" s="8">
        <v>75</v>
      </c>
      <c r="K115" s="8">
        <f t="shared" si="21"/>
        <v>89</v>
      </c>
      <c r="L115" s="8">
        <v>1</v>
      </c>
      <c r="M115" s="8">
        <f>80+9+13-12</f>
        <v>90</v>
      </c>
      <c r="N115" s="11">
        <f t="shared" si="22"/>
        <v>0.75555555555555554</v>
      </c>
      <c r="O115" s="11">
        <f t="shared" si="23"/>
        <v>0.7640449438202247</v>
      </c>
      <c r="P115" s="12">
        <f t="shared" si="24"/>
        <v>22000</v>
      </c>
      <c r="Q115" s="14" t="s">
        <v>77</v>
      </c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</row>
    <row r="116" spans="1:28" ht="12.75" customHeight="1" x14ac:dyDescent="0.25">
      <c r="A116" s="7">
        <v>46054</v>
      </c>
      <c r="B116" s="8" t="s">
        <v>35</v>
      </c>
      <c r="C116" s="8" t="s">
        <v>66</v>
      </c>
      <c r="D116" s="8" t="s">
        <v>88</v>
      </c>
      <c r="E116" s="14" t="s">
        <v>20</v>
      </c>
      <c r="F116" s="8">
        <v>41</v>
      </c>
      <c r="G116" s="9"/>
      <c r="H116" s="9">
        <v>2</v>
      </c>
      <c r="I116" s="10">
        <v>212</v>
      </c>
      <c r="J116" s="8">
        <v>190</v>
      </c>
      <c r="K116" s="8">
        <f t="shared" si="21"/>
        <v>270</v>
      </c>
      <c r="L116" s="8">
        <v>26</v>
      </c>
      <c r="M116" s="8">
        <v>296</v>
      </c>
      <c r="N116" s="11">
        <f t="shared" si="22"/>
        <v>0.71621621621621623</v>
      </c>
      <c r="O116" s="11">
        <f t="shared" si="23"/>
        <v>0.78518518518518521</v>
      </c>
      <c r="P116" s="12">
        <f t="shared" si="24"/>
        <v>572000</v>
      </c>
      <c r="Q116" s="8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2.75" customHeight="1" x14ac:dyDescent="0.25">
      <c r="A117" s="7">
        <v>46113</v>
      </c>
      <c r="B117" s="8" t="s">
        <v>58</v>
      </c>
      <c r="C117" s="8" t="s">
        <v>59</v>
      </c>
      <c r="D117" s="17" t="s">
        <v>78</v>
      </c>
      <c r="E117" s="8" t="s">
        <v>20</v>
      </c>
      <c r="F117" s="8">
        <v>20</v>
      </c>
      <c r="G117" s="9">
        <f>+(600+1200+3000+3000+1200+1200+1200+1200)/3600</f>
        <v>3.5</v>
      </c>
      <c r="H117" s="9">
        <v>1</v>
      </c>
      <c r="I117" s="10">
        <f t="shared" ref="I117:I122" si="25">(G117*F117)+0.25*F117</f>
        <v>75</v>
      </c>
      <c r="J117" s="8">
        <v>98</v>
      </c>
      <c r="K117" s="8">
        <f t="shared" si="21"/>
        <v>137.19999999999999</v>
      </c>
      <c r="L117" s="8">
        <v>2</v>
      </c>
      <c r="M117" s="8">
        <f>80+49+22.2-12</f>
        <v>139.19999999999999</v>
      </c>
      <c r="N117" s="11">
        <f t="shared" si="22"/>
        <v>0.53879310344827591</v>
      </c>
      <c r="O117" s="11">
        <f t="shared" si="23"/>
        <v>0.54664723032069973</v>
      </c>
      <c r="P117" s="12">
        <f t="shared" si="24"/>
        <v>44000</v>
      </c>
      <c r="Q117" s="14" t="s">
        <v>79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</row>
    <row r="118" spans="1:28" ht="12.75" customHeight="1" x14ac:dyDescent="0.25">
      <c r="A118" s="7">
        <v>46113</v>
      </c>
      <c r="B118" s="8" t="s">
        <v>58</v>
      </c>
      <c r="C118" s="8" t="s">
        <v>59</v>
      </c>
      <c r="D118" s="17" t="s">
        <v>80</v>
      </c>
      <c r="E118" s="8" t="s">
        <v>20</v>
      </c>
      <c r="F118" s="8">
        <v>17</v>
      </c>
      <c r="G118" s="9">
        <v>8</v>
      </c>
      <c r="H118" s="9">
        <v>2</v>
      </c>
      <c r="I118" s="10">
        <f t="shared" si="25"/>
        <v>140.25</v>
      </c>
      <c r="J118" s="8">
        <v>179</v>
      </c>
      <c r="K118" s="8">
        <f t="shared" si="21"/>
        <v>201.5</v>
      </c>
      <c r="L118" s="8">
        <v>2</v>
      </c>
      <c r="M118" s="8">
        <f>80+22.5+16-12+80+17+11-11</f>
        <v>203.5</v>
      </c>
      <c r="N118" s="11">
        <f t="shared" si="22"/>
        <v>0.68918918918918914</v>
      </c>
      <c r="O118" s="11">
        <f t="shared" si="23"/>
        <v>0.69602977667493793</v>
      </c>
      <c r="P118" s="12">
        <f t="shared" si="24"/>
        <v>44000</v>
      </c>
      <c r="Q118" s="14" t="s">
        <v>81</v>
      </c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</row>
    <row r="119" spans="1:28" ht="12.75" customHeight="1" x14ac:dyDescent="0.25">
      <c r="A119" s="7">
        <v>46113</v>
      </c>
      <c r="B119" s="8" t="s">
        <v>58</v>
      </c>
      <c r="C119" s="8" t="s">
        <v>59</v>
      </c>
      <c r="D119" s="17" t="s">
        <v>82</v>
      </c>
      <c r="E119" s="8" t="s">
        <v>20</v>
      </c>
      <c r="F119" s="8">
        <v>17</v>
      </c>
      <c r="G119" s="9">
        <v>5</v>
      </c>
      <c r="H119" s="9">
        <v>2</v>
      </c>
      <c r="I119" s="10">
        <f t="shared" si="25"/>
        <v>89.25</v>
      </c>
      <c r="J119" s="19">
        <v>98</v>
      </c>
      <c r="K119" s="8">
        <f t="shared" si="21"/>
        <v>112.5</v>
      </c>
      <c r="L119" s="8">
        <v>20</v>
      </c>
      <c r="M119" s="8">
        <f>(62+1+10-11+80+56+26-12)*0.625</f>
        <v>132.5</v>
      </c>
      <c r="N119" s="11">
        <f t="shared" si="22"/>
        <v>0.67358490566037732</v>
      </c>
      <c r="O119" s="11">
        <f t="shared" si="23"/>
        <v>0.79333333333333333</v>
      </c>
      <c r="P119" s="12">
        <f t="shared" si="24"/>
        <v>440000</v>
      </c>
      <c r="Q119" s="14" t="s">
        <v>83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</row>
    <row r="120" spans="1:28" ht="12.75" customHeight="1" x14ac:dyDescent="0.25">
      <c r="A120" s="7">
        <v>46113</v>
      </c>
      <c r="B120" s="8" t="s">
        <v>58</v>
      </c>
      <c r="C120" s="8" t="s">
        <v>59</v>
      </c>
      <c r="D120" s="17" t="s">
        <v>84</v>
      </c>
      <c r="E120" s="8" t="s">
        <v>20</v>
      </c>
      <c r="F120" s="8">
        <v>8</v>
      </c>
      <c r="G120" s="9">
        <v>3</v>
      </c>
      <c r="H120" s="9">
        <v>2</v>
      </c>
      <c r="I120" s="10">
        <f t="shared" si="25"/>
        <v>26</v>
      </c>
      <c r="J120" s="19">
        <v>60</v>
      </c>
      <c r="K120" s="8">
        <f t="shared" si="21"/>
        <v>68.5</v>
      </c>
      <c r="L120" s="8">
        <v>11</v>
      </c>
      <c r="M120" s="8">
        <f>212*0.375</f>
        <v>79.5</v>
      </c>
      <c r="N120" s="11">
        <f t="shared" si="22"/>
        <v>0.32704402515723269</v>
      </c>
      <c r="O120" s="11">
        <f t="shared" si="23"/>
        <v>0.37956204379562042</v>
      </c>
      <c r="P120" s="12">
        <f t="shared" si="24"/>
        <v>242000</v>
      </c>
      <c r="Q120" s="14" t="s">
        <v>83</v>
      </c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</row>
    <row r="121" spans="1:28" ht="12.75" customHeight="1" x14ac:dyDescent="0.25">
      <c r="A121" s="7">
        <v>46113</v>
      </c>
      <c r="B121" s="8" t="s">
        <v>58</v>
      </c>
      <c r="C121" s="8" t="s">
        <v>59</v>
      </c>
      <c r="D121" s="17" t="s">
        <v>85</v>
      </c>
      <c r="E121" s="8" t="s">
        <v>20</v>
      </c>
      <c r="F121" s="8">
        <v>65</v>
      </c>
      <c r="G121" s="9">
        <v>0.4</v>
      </c>
      <c r="H121" s="9">
        <v>2</v>
      </c>
      <c r="I121" s="10">
        <f t="shared" si="25"/>
        <v>42.25</v>
      </c>
      <c r="J121" s="8">
        <v>54</v>
      </c>
      <c r="K121" s="8">
        <f t="shared" si="21"/>
        <v>77</v>
      </c>
      <c r="L121" s="8">
        <v>49</v>
      </c>
      <c r="M121" s="8">
        <v>80</v>
      </c>
      <c r="N121" s="11">
        <f t="shared" si="22"/>
        <v>0.52812499999999996</v>
      </c>
      <c r="O121" s="11">
        <f t="shared" si="23"/>
        <v>0.54870129870129869</v>
      </c>
      <c r="P121" s="12">
        <f t="shared" si="24"/>
        <v>1078000</v>
      </c>
      <c r="Q121" s="14" t="s">
        <v>86</v>
      </c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</row>
    <row r="122" spans="1:28" ht="12.75" customHeight="1" x14ac:dyDescent="0.25">
      <c r="A122" s="7">
        <v>46113</v>
      </c>
      <c r="B122" s="8" t="s">
        <v>58</v>
      </c>
      <c r="C122" s="8" t="s">
        <v>59</v>
      </c>
      <c r="D122" s="17" t="s">
        <v>87</v>
      </c>
      <c r="E122" s="8" t="s">
        <v>20</v>
      </c>
      <c r="F122" s="8">
        <v>11</v>
      </c>
      <c r="G122" s="9">
        <v>0.8</v>
      </c>
      <c r="H122" s="9">
        <v>2</v>
      </c>
      <c r="I122" s="10">
        <f t="shared" si="25"/>
        <v>11.55</v>
      </c>
      <c r="J122" s="8">
        <v>7</v>
      </c>
      <c r="K122" s="8">
        <f t="shared" si="21"/>
        <v>8</v>
      </c>
      <c r="L122" s="8">
        <v>0</v>
      </c>
      <c r="M122" s="8">
        <v>8</v>
      </c>
      <c r="N122" s="11">
        <f t="shared" si="22"/>
        <v>1.4437500000000001</v>
      </c>
      <c r="O122" s="11">
        <f t="shared" si="23"/>
        <v>1.4437500000000001</v>
      </c>
      <c r="P122" s="12">
        <f t="shared" si="24"/>
        <v>0</v>
      </c>
      <c r="Q122" s="14" t="s">
        <v>86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</row>
    <row r="123" spans="1:28" ht="12.75" customHeight="1" x14ac:dyDescent="0.25">
      <c r="A123" s="7">
        <v>46082</v>
      </c>
      <c r="B123" s="8" t="s">
        <v>35</v>
      </c>
      <c r="C123" s="8" t="s">
        <v>66</v>
      </c>
      <c r="D123" s="8" t="s">
        <v>88</v>
      </c>
      <c r="E123" s="14" t="s">
        <v>20</v>
      </c>
      <c r="F123" s="8">
        <v>61</v>
      </c>
      <c r="G123" s="9"/>
      <c r="H123" s="9">
        <v>2</v>
      </c>
      <c r="I123" s="10">
        <v>310</v>
      </c>
      <c r="J123" s="8">
        <v>186</v>
      </c>
      <c r="K123" s="8">
        <f t="shared" si="21"/>
        <v>204.5</v>
      </c>
      <c r="L123" s="8">
        <v>53</v>
      </c>
      <c r="M123" s="8">
        <f>185+112.5-40</f>
        <v>257.5</v>
      </c>
      <c r="N123" s="11">
        <f t="shared" si="22"/>
        <v>1.203883495145631</v>
      </c>
      <c r="O123" s="11">
        <f t="shared" si="23"/>
        <v>1.5158924205378974</v>
      </c>
      <c r="P123" s="12">
        <f t="shared" si="24"/>
        <v>1166000</v>
      </c>
      <c r="Q123" s="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2.75" customHeight="1" x14ac:dyDescent="0.25">
      <c r="A124" s="7">
        <v>46082</v>
      </c>
      <c r="B124" s="8" t="s">
        <v>17</v>
      </c>
      <c r="C124" s="8" t="s">
        <v>39</v>
      </c>
      <c r="D124" s="8" t="s">
        <v>40</v>
      </c>
      <c r="E124" s="8" t="s">
        <v>20</v>
      </c>
      <c r="F124" s="20">
        <v>25</v>
      </c>
      <c r="G124" s="9">
        <v>9.1999999999999993</v>
      </c>
      <c r="H124" s="9">
        <v>2</v>
      </c>
      <c r="I124" s="10">
        <f t="shared" ref="I124:I131" si="26">(G124*F124)+0.25*F124</f>
        <v>236.24999999999997</v>
      </c>
      <c r="J124" s="8">
        <v>289</v>
      </c>
      <c r="K124" s="8">
        <f t="shared" si="21"/>
        <v>290</v>
      </c>
      <c r="L124" s="15">
        <v>101</v>
      </c>
      <c r="M124" s="14">
        <f>191+240-40</f>
        <v>391</v>
      </c>
      <c r="N124" s="11">
        <f t="shared" si="22"/>
        <v>0.60421994884910479</v>
      </c>
      <c r="O124" s="11">
        <f t="shared" si="23"/>
        <v>0.81465517241379304</v>
      </c>
      <c r="P124" s="12">
        <f t="shared" si="24"/>
        <v>2222000</v>
      </c>
      <c r="Q124" s="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2.75" customHeight="1" x14ac:dyDescent="0.25">
      <c r="A125" s="7">
        <v>46082</v>
      </c>
      <c r="B125" s="8" t="s">
        <v>17</v>
      </c>
      <c r="C125" s="8" t="s">
        <v>39</v>
      </c>
      <c r="D125" s="8" t="s">
        <v>41</v>
      </c>
      <c r="E125" s="8" t="s">
        <v>20</v>
      </c>
      <c r="F125" s="20">
        <v>24</v>
      </c>
      <c r="G125" s="9">
        <v>7.61</v>
      </c>
      <c r="H125" s="9">
        <v>2</v>
      </c>
      <c r="I125" s="10">
        <f t="shared" si="26"/>
        <v>188.64000000000001</v>
      </c>
      <c r="J125" s="8">
        <v>373</v>
      </c>
      <c r="K125" s="8">
        <f t="shared" si="21"/>
        <v>419</v>
      </c>
      <c r="L125" s="15">
        <v>46</v>
      </c>
      <c r="M125" s="14">
        <f>225+188-40</f>
        <v>373</v>
      </c>
      <c r="N125" s="11">
        <f t="shared" si="22"/>
        <v>0.50573726541554964</v>
      </c>
      <c r="O125" s="11">
        <f t="shared" si="23"/>
        <v>0.45021479713603824</v>
      </c>
      <c r="P125" s="12">
        <f t="shared" si="24"/>
        <v>1012000</v>
      </c>
      <c r="Q125" s="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2.75" customHeight="1" x14ac:dyDescent="0.25">
      <c r="A126" s="7">
        <v>46082</v>
      </c>
      <c r="B126" s="8" t="s">
        <v>17</v>
      </c>
      <c r="C126" s="8" t="s">
        <v>39</v>
      </c>
      <c r="D126" s="8" t="s">
        <v>42</v>
      </c>
      <c r="E126" s="8" t="s">
        <v>20</v>
      </c>
      <c r="F126" s="8">
        <v>27</v>
      </c>
      <c r="G126" s="9">
        <v>12.98</v>
      </c>
      <c r="H126" s="9">
        <v>3</v>
      </c>
      <c r="I126" s="10">
        <f t="shared" si="26"/>
        <v>357.21000000000004</v>
      </c>
      <c r="J126" s="8">
        <v>414</v>
      </c>
      <c r="K126" s="8">
        <f t="shared" si="21"/>
        <v>427.5</v>
      </c>
      <c r="L126" s="15">
        <v>57</v>
      </c>
      <c r="M126" s="14">
        <f>224+229+81.5-40-10</f>
        <v>484.5</v>
      </c>
      <c r="N126" s="11">
        <f t="shared" si="22"/>
        <v>0.73727554179566568</v>
      </c>
      <c r="O126" s="11">
        <f t="shared" si="23"/>
        <v>0.83557894736842109</v>
      </c>
      <c r="P126" s="12">
        <f t="shared" si="24"/>
        <v>1254000</v>
      </c>
      <c r="Q126" s="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2.75" customHeight="1" x14ac:dyDescent="0.25">
      <c r="A127" s="7">
        <v>46082</v>
      </c>
      <c r="B127" s="8" t="s">
        <v>17</v>
      </c>
      <c r="C127" s="8" t="s">
        <v>39</v>
      </c>
      <c r="D127" s="8" t="s">
        <v>43</v>
      </c>
      <c r="E127" s="8" t="s">
        <v>20</v>
      </c>
      <c r="F127" s="8">
        <v>23</v>
      </c>
      <c r="G127" s="9">
        <v>4.6900000000000004</v>
      </c>
      <c r="H127" s="9">
        <v>1</v>
      </c>
      <c r="I127" s="10">
        <f t="shared" si="26"/>
        <v>113.62</v>
      </c>
      <c r="J127" s="8">
        <v>280</v>
      </c>
      <c r="K127" s="8">
        <f t="shared" si="21"/>
        <v>355</v>
      </c>
      <c r="L127" s="15">
        <v>9</v>
      </c>
      <c r="M127" s="14">
        <f>234-20</f>
        <v>214</v>
      </c>
      <c r="N127" s="11">
        <f t="shared" si="22"/>
        <v>0.53093457943925237</v>
      </c>
      <c r="O127" s="11">
        <f t="shared" si="23"/>
        <v>0.32005633802816902</v>
      </c>
      <c r="P127" s="12">
        <f t="shared" si="24"/>
        <v>198000</v>
      </c>
      <c r="Q127" s="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2.75" customHeight="1" x14ac:dyDescent="0.25">
      <c r="A128" s="7">
        <v>46082</v>
      </c>
      <c r="B128" s="8" t="s">
        <v>17</v>
      </c>
      <c r="C128" s="8" t="s">
        <v>39</v>
      </c>
      <c r="D128" s="8" t="s">
        <v>44</v>
      </c>
      <c r="E128" s="8" t="s">
        <v>20</v>
      </c>
      <c r="F128" s="20">
        <v>28</v>
      </c>
      <c r="G128" s="9">
        <v>4.6100000000000003</v>
      </c>
      <c r="H128" s="9">
        <v>1</v>
      </c>
      <c r="I128" s="10">
        <f t="shared" si="26"/>
        <v>136.08000000000001</v>
      </c>
      <c r="J128" s="8">
        <v>171</v>
      </c>
      <c r="K128" s="8">
        <f t="shared" si="21"/>
        <v>180.5</v>
      </c>
      <c r="L128" s="15">
        <v>0</v>
      </c>
      <c r="M128" s="14">
        <f>251/2+64-28</f>
        <v>161.5</v>
      </c>
      <c r="N128" s="11">
        <f t="shared" si="22"/>
        <v>0.84260061919504647</v>
      </c>
      <c r="O128" s="11">
        <f t="shared" si="23"/>
        <v>0.75390581717451532</v>
      </c>
      <c r="P128" s="12">
        <f t="shared" si="24"/>
        <v>0</v>
      </c>
      <c r="Q128" s="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2.75" customHeight="1" x14ac:dyDescent="0.25">
      <c r="A129" s="7">
        <v>46082</v>
      </c>
      <c r="B129" s="8" t="s">
        <v>17</v>
      </c>
      <c r="C129" s="8" t="s">
        <v>39</v>
      </c>
      <c r="D129" s="8" t="s">
        <v>45</v>
      </c>
      <c r="E129" s="8" t="s">
        <v>20</v>
      </c>
      <c r="F129" s="20">
        <v>28</v>
      </c>
      <c r="G129" s="9">
        <v>4.5</v>
      </c>
      <c r="H129" s="9">
        <v>1</v>
      </c>
      <c r="I129" s="10">
        <f t="shared" si="26"/>
        <v>133</v>
      </c>
      <c r="J129" s="8">
        <v>140</v>
      </c>
      <c r="K129" s="8">
        <f t="shared" si="21"/>
        <v>174.5</v>
      </c>
      <c r="L129" s="15">
        <v>0</v>
      </c>
      <c r="M129" s="14">
        <f>194.5-20</f>
        <v>174.5</v>
      </c>
      <c r="N129" s="11">
        <f t="shared" si="22"/>
        <v>0.76217765042979946</v>
      </c>
      <c r="O129" s="11">
        <f t="shared" si="23"/>
        <v>0.76217765042979946</v>
      </c>
      <c r="P129" s="12">
        <f t="shared" si="24"/>
        <v>0</v>
      </c>
      <c r="Q129" s="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2.75" customHeight="1" x14ac:dyDescent="0.25">
      <c r="A130" s="7">
        <v>46082</v>
      </c>
      <c r="B130" s="8" t="s">
        <v>17</v>
      </c>
      <c r="C130" s="8" t="s">
        <v>39</v>
      </c>
      <c r="D130" s="8" t="s">
        <v>46</v>
      </c>
      <c r="E130" s="8" t="s">
        <v>20</v>
      </c>
      <c r="F130" s="20">
        <v>21</v>
      </c>
      <c r="G130" s="9">
        <v>9.1999999999999993</v>
      </c>
      <c r="H130" s="9">
        <v>2</v>
      </c>
      <c r="I130" s="10">
        <f t="shared" si="26"/>
        <v>198.45</v>
      </c>
      <c r="J130" s="8">
        <v>210</v>
      </c>
      <c r="K130" s="8">
        <f t="shared" si="21"/>
        <v>324.39999999999998</v>
      </c>
      <c r="L130" s="15">
        <v>119.6</v>
      </c>
      <c r="M130" s="14">
        <f>240+244-40</f>
        <v>444</v>
      </c>
      <c r="N130" s="11">
        <f t="shared" si="22"/>
        <v>0.44695945945945942</v>
      </c>
      <c r="O130" s="11">
        <f t="shared" si="23"/>
        <v>0.61174475955610363</v>
      </c>
      <c r="P130" s="12">
        <f t="shared" si="24"/>
        <v>2631200</v>
      </c>
      <c r="Q130" s="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2.75" customHeight="1" x14ac:dyDescent="0.25">
      <c r="A131" s="7">
        <v>46082</v>
      </c>
      <c r="B131" s="8" t="s">
        <v>17</v>
      </c>
      <c r="C131" s="8" t="s">
        <v>39</v>
      </c>
      <c r="D131" s="8" t="s">
        <v>47</v>
      </c>
      <c r="E131" s="8" t="s">
        <v>20</v>
      </c>
      <c r="F131" s="20">
        <v>26</v>
      </c>
      <c r="G131" s="9">
        <f>20736/3600</f>
        <v>5.76</v>
      </c>
      <c r="H131" s="9">
        <v>1</v>
      </c>
      <c r="I131" s="10">
        <f t="shared" si="26"/>
        <v>156.26</v>
      </c>
      <c r="J131" s="8">
        <v>144</v>
      </c>
      <c r="K131" s="8">
        <f t="shared" si="21"/>
        <v>150</v>
      </c>
      <c r="L131" s="15">
        <v>16</v>
      </c>
      <c r="M131" s="14">
        <f>186-20</f>
        <v>166</v>
      </c>
      <c r="N131" s="11">
        <f t="shared" si="22"/>
        <v>0.94132530120481928</v>
      </c>
      <c r="O131" s="11">
        <f t="shared" si="23"/>
        <v>1.0417333333333332</v>
      </c>
      <c r="P131" s="12">
        <f t="shared" si="24"/>
        <v>352000</v>
      </c>
      <c r="Q131" s="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2.75" customHeight="1" x14ac:dyDescent="0.25">
      <c r="A132" s="7">
        <v>45992</v>
      </c>
      <c r="B132" s="8" t="s">
        <v>35</v>
      </c>
      <c r="C132" s="8" t="s">
        <v>49</v>
      </c>
      <c r="D132" s="8" t="s">
        <v>50</v>
      </c>
      <c r="E132" s="8" t="s">
        <v>22</v>
      </c>
      <c r="F132" s="8">
        <v>174</v>
      </c>
      <c r="G132" s="9"/>
      <c r="H132" s="9">
        <v>8</v>
      </c>
      <c r="I132" s="10">
        <v>686.8</v>
      </c>
      <c r="J132" s="8">
        <v>995</v>
      </c>
      <c r="K132" s="8">
        <f t="shared" si="21"/>
        <v>1210</v>
      </c>
      <c r="L132" s="8">
        <v>709</v>
      </c>
      <c r="M132" s="8">
        <v>1489</v>
      </c>
      <c r="N132" s="11">
        <f t="shared" si="22"/>
        <v>0.46124916051040965</v>
      </c>
      <c r="O132" s="11">
        <f t="shared" si="23"/>
        <v>0.56760330578512397</v>
      </c>
      <c r="P132" s="12">
        <f t="shared" si="24"/>
        <v>15598000</v>
      </c>
      <c r="Q132" s="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2.75" customHeight="1" x14ac:dyDescent="0.25">
      <c r="A133" s="7">
        <v>46023</v>
      </c>
      <c r="B133" s="8" t="s">
        <v>35</v>
      </c>
      <c r="C133" s="8" t="s">
        <v>49</v>
      </c>
      <c r="D133" s="8" t="s">
        <v>50</v>
      </c>
      <c r="E133" s="8" t="s">
        <v>22</v>
      </c>
      <c r="F133" s="8">
        <v>104</v>
      </c>
      <c r="G133" s="9"/>
      <c r="H133" s="9">
        <v>8</v>
      </c>
      <c r="I133" s="10">
        <v>493</v>
      </c>
      <c r="J133" s="8">
        <v>521</v>
      </c>
      <c r="K133" s="8">
        <f t="shared" si="21"/>
        <v>705</v>
      </c>
      <c r="L133" s="8">
        <v>350</v>
      </c>
      <c r="M133" s="8">
        <v>1055</v>
      </c>
      <c r="N133" s="11">
        <f t="shared" si="22"/>
        <v>0.46729857819905213</v>
      </c>
      <c r="O133" s="11">
        <f t="shared" si="23"/>
        <v>0.69929078014184398</v>
      </c>
      <c r="P133" s="12">
        <f t="shared" si="24"/>
        <v>7700000</v>
      </c>
      <c r="Q133" s="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2.75" customHeight="1" x14ac:dyDescent="0.25">
      <c r="A134" s="7">
        <v>46054</v>
      </c>
      <c r="B134" s="8" t="s">
        <v>35</v>
      </c>
      <c r="C134" s="8" t="s">
        <v>49</v>
      </c>
      <c r="D134" s="8" t="s">
        <v>50</v>
      </c>
      <c r="E134" s="8" t="s">
        <v>22</v>
      </c>
      <c r="F134" s="8">
        <v>162</v>
      </c>
      <c r="G134" s="9"/>
      <c r="H134" s="9">
        <v>8</v>
      </c>
      <c r="I134" s="10">
        <v>817</v>
      </c>
      <c r="J134" s="8">
        <v>898</v>
      </c>
      <c r="K134" s="8">
        <f t="shared" si="21"/>
        <v>996</v>
      </c>
      <c r="L134" s="8">
        <v>703</v>
      </c>
      <c r="M134" s="8">
        <v>1503</v>
      </c>
      <c r="N134" s="11">
        <f t="shared" si="22"/>
        <v>0.54357950765136398</v>
      </c>
      <c r="O134" s="11">
        <f t="shared" si="23"/>
        <v>0.82028112449799195</v>
      </c>
      <c r="P134" s="12">
        <f t="shared" si="24"/>
        <v>15466000</v>
      </c>
      <c r="Q134" s="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2.75" customHeight="1" x14ac:dyDescent="0.25">
      <c r="A135" s="7">
        <v>46082</v>
      </c>
      <c r="B135" s="8" t="s">
        <v>35</v>
      </c>
      <c r="C135" s="8" t="s">
        <v>49</v>
      </c>
      <c r="D135" s="8" t="s">
        <v>50</v>
      </c>
      <c r="E135" s="14" t="s">
        <v>22</v>
      </c>
      <c r="F135" s="8">
        <v>170</v>
      </c>
      <c r="G135" s="9"/>
      <c r="H135" s="9">
        <v>8</v>
      </c>
      <c r="I135" s="10">
        <v>822</v>
      </c>
      <c r="J135" s="8">
        <v>818</v>
      </c>
      <c r="K135" s="8">
        <f t="shared" si="21"/>
        <v>1032</v>
      </c>
      <c r="L135" s="8">
        <v>869</v>
      </c>
      <c r="M135" s="8">
        <f>1553+(8*10)-8*20</f>
        <v>1473</v>
      </c>
      <c r="N135" s="11">
        <f t="shared" si="22"/>
        <v>0.55804480651731159</v>
      </c>
      <c r="O135" s="11">
        <f t="shared" si="23"/>
        <v>0.79651162790697672</v>
      </c>
      <c r="P135" s="12">
        <f t="shared" si="24"/>
        <v>19118000</v>
      </c>
      <c r="Q135" s="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2.75" customHeight="1" x14ac:dyDescent="0.25">
      <c r="A136" s="7">
        <v>45992</v>
      </c>
      <c r="B136" s="8" t="s">
        <v>17</v>
      </c>
      <c r="C136" s="8" t="s">
        <v>39</v>
      </c>
      <c r="D136" s="8" t="s">
        <v>89</v>
      </c>
      <c r="E136" s="8" t="s">
        <v>22</v>
      </c>
      <c r="F136" s="8">
        <v>16</v>
      </c>
      <c r="G136" s="9">
        <v>8.98</v>
      </c>
      <c r="H136" s="9">
        <v>2</v>
      </c>
      <c r="I136" s="10">
        <f t="shared" ref="I136:I142" si="27">(G136*F136)+0.25*F136</f>
        <v>147.68</v>
      </c>
      <c r="J136" s="8">
        <v>224</v>
      </c>
      <c r="K136" s="8">
        <f t="shared" si="1"/>
        <v>244</v>
      </c>
      <c r="L136" s="16">
        <v>94</v>
      </c>
      <c r="M136" s="8">
        <v>338</v>
      </c>
      <c r="N136" s="11">
        <f t="shared" si="2"/>
        <v>0.43692307692307697</v>
      </c>
      <c r="O136" s="11">
        <f t="shared" si="3"/>
        <v>0.60524590163934433</v>
      </c>
      <c r="P136" s="12">
        <f t="shared" si="4"/>
        <v>2068000</v>
      </c>
      <c r="Q136" s="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2.75" customHeight="1" x14ac:dyDescent="0.25">
      <c r="A137" s="7">
        <v>46023</v>
      </c>
      <c r="B137" s="8" t="s">
        <v>17</v>
      </c>
      <c r="C137" s="8" t="s">
        <v>39</v>
      </c>
      <c r="D137" s="8" t="s">
        <v>89</v>
      </c>
      <c r="E137" s="8" t="s">
        <v>22</v>
      </c>
      <c r="F137" s="8">
        <v>12</v>
      </c>
      <c r="G137" s="9">
        <v>8.98</v>
      </c>
      <c r="H137" s="9">
        <v>2</v>
      </c>
      <c r="I137" s="10">
        <f t="shared" si="27"/>
        <v>110.76</v>
      </c>
      <c r="J137" s="8">
        <v>214</v>
      </c>
      <c r="K137" s="8">
        <f t="shared" si="1"/>
        <v>238</v>
      </c>
      <c r="L137" s="16">
        <v>82</v>
      </c>
      <c r="M137" s="8">
        <v>272</v>
      </c>
      <c r="N137" s="11">
        <f t="shared" si="2"/>
        <v>0.4072058823529412</v>
      </c>
      <c r="O137" s="11">
        <f t="shared" si="3"/>
        <v>0.46537815126050425</v>
      </c>
      <c r="P137" s="12">
        <f t="shared" si="4"/>
        <v>1804000</v>
      </c>
      <c r="Q137" s="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2.75" customHeight="1" x14ac:dyDescent="0.25">
      <c r="A138" s="7">
        <v>46054</v>
      </c>
      <c r="B138" s="8" t="s">
        <v>17</v>
      </c>
      <c r="C138" s="8" t="s">
        <v>39</v>
      </c>
      <c r="D138" s="8" t="s">
        <v>89</v>
      </c>
      <c r="E138" s="8" t="s">
        <v>22</v>
      </c>
      <c r="F138" s="8">
        <v>23</v>
      </c>
      <c r="G138" s="9">
        <v>8.98</v>
      </c>
      <c r="H138" s="9">
        <v>2</v>
      </c>
      <c r="I138" s="10">
        <f t="shared" si="27"/>
        <v>212.29000000000002</v>
      </c>
      <c r="J138" s="8">
        <v>291</v>
      </c>
      <c r="K138" s="8">
        <f t="shared" si="1"/>
        <v>300</v>
      </c>
      <c r="L138" s="16">
        <v>101</v>
      </c>
      <c r="M138" s="8">
        <v>383</v>
      </c>
      <c r="N138" s="11">
        <f t="shared" si="2"/>
        <v>0.55428198433420373</v>
      </c>
      <c r="O138" s="11">
        <f t="shared" si="3"/>
        <v>0.70763333333333345</v>
      </c>
      <c r="P138" s="12">
        <f t="shared" si="4"/>
        <v>2222000</v>
      </c>
      <c r="Q138" s="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2.75" customHeight="1" x14ac:dyDescent="0.25">
      <c r="A139" s="7">
        <v>46082</v>
      </c>
      <c r="B139" s="8" t="s">
        <v>17</v>
      </c>
      <c r="C139" s="8" t="s">
        <v>39</v>
      </c>
      <c r="D139" s="8" t="s">
        <v>89</v>
      </c>
      <c r="E139" s="14" t="s">
        <v>22</v>
      </c>
      <c r="F139" s="8">
        <v>24</v>
      </c>
      <c r="G139" s="9">
        <v>8.98</v>
      </c>
      <c r="H139" s="9">
        <v>2</v>
      </c>
      <c r="I139" s="10">
        <f t="shared" si="27"/>
        <v>221.52</v>
      </c>
      <c r="J139" s="8">
        <v>286</v>
      </c>
      <c r="K139" s="8">
        <f t="shared" si="1"/>
        <v>339.5</v>
      </c>
      <c r="L139" s="15">
        <v>138</v>
      </c>
      <c r="M139" s="14">
        <f>208+202.5-40</f>
        <v>370.5</v>
      </c>
      <c r="N139" s="11">
        <f t="shared" si="2"/>
        <v>0.59789473684210526</v>
      </c>
      <c r="O139" s="11">
        <f t="shared" si="3"/>
        <v>0.65248895434462451</v>
      </c>
      <c r="P139" s="12">
        <f t="shared" si="4"/>
        <v>3036000</v>
      </c>
      <c r="Q139" s="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2.75" customHeight="1" x14ac:dyDescent="0.25">
      <c r="A140" s="7">
        <v>46082</v>
      </c>
      <c r="B140" s="8" t="s">
        <v>17</v>
      </c>
      <c r="C140" s="8" t="s">
        <v>39</v>
      </c>
      <c r="D140" s="8" t="s">
        <v>51</v>
      </c>
      <c r="E140" s="8" t="s">
        <v>20</v>
      </c>
      <c r="F140" s="20">
        <v>28</v>
      </c>
      <c r="G140" s="9">
        <v>4.33</v>
      </c>
      <c r="H140" s="9">
        <v>1</v>
      </c>
      <c r="I140" s="10">
        <f t="shared" si="27"/>
        <v>128.24</v>
      </c>
      <c r="J140" s="8">
        <v>151</v>
      </c>
      <c r="K140" s="8">
        <f t="shared" si="1"/>
        <v>151</v>
      </c>
      <c r="L140" s="15">
        <v>70</v>
      </c>
      <c r="M140" s="14">
        <f>241-20</f>
        <v>221</v>
      </c>
      <c r="N140" s="11">
        <f t="shared" si="2"/>
        <v>0.58027149321266969</v>
      </c>
      <c r="O140" s="11">
        <f t="shared" si="3"/>
        <v>0.84927152317880805</v>
      </c>
      <c r="P140" s="12">
        <f t="shared" si="4"/>
        <v>1540000</v>
      </c>
      <c r="Q140" s="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2.75" customHeight="1" x14ac:dyDescent="0.25">
      <c r="A141" s="7">
        <v>46082</v>
      </c>
      <c r="B141" s="8" t="s">
        <v>17</v>
      </c>
      <c r="C141" s="8" t="s">
        <v>39</v>
      </c>
      <c r="D141" s="8" t="s">
        <v>52</v>
      </c>
      <c r="E141" s="8" t="s">
        <v>20</v>
      </c>
      <c r="F141" s="8">
        <v>26</v>
      </c>
      <c r="G141" s="9">
        <v>4.5999999999999996</v>
      </c>
      <c r="H141" s="9">
        <v>1</v>
      </c>
      <c r="I141" s="10">
        <f t="shared" si="27"/>
        <v>126.1</v>
      </c>
      <c r="J141" s="8">
        <v>107</v>
      </c>
      <c r="K141" s="8">
        <f t="shared" si="1"/>
        <v>121.5</v>
      </c>
      <c r="L141" s="15">
        <v>30</v>
      </c>
      <c r="M141" s="14">
        <f>171.5-20</f>
        <v>151.5</v>
      </c>
      <c r="N141" s="11">
        <f t="shared" si="2"/>
        <v>0.83234323432343227</v>
      </c>
      <c r="O141" s="11">
        <f t="shared" si="3"/>
        <v>1.0378600823045268</v>
      </c>
      <c r="P141" s="12">
        <f t="shared" si="4"/>
        <v>660000</v>
      </c>
      <c r="Q141" s="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2.75" customHeight="1" x14ac:dyDescent="0.25">
      <c r="A142" s="7">
        <v>46082</v>
      </c>
      <c r="B142" s="8" t="s">
        <v>17</v>
      </c>
      <c r="C142" s="8" t="s">
        <v>39</v>
      </c>
      <c r="D142" s="8" t="s">
        <v>53</v>
      </c>
      <c r="E142" s="8" t="s">
        <v>20</v>
      </c>
      <c r="F142" s="20">
        <v>25</v>
      </c>
      <c r="G142" s="9">
        <v>4.66</v>
      </c>
      <c r="H142" s="9">
        <v>1</v>
      </c>
      <c r="I142" s="21">
        <f t="shared" si="27"/>
        <v>122.75</v>
      </c>
      <c r="J142" s="8">
        <v>140.5</v>
      </c>
      <c r="K142" s="8">
        <f t="shared" si="1"/>
        <v>146</v>
      </c>
      <c r="L142" s="15">
        <v>33</v>
      </c>
      <c r="M142" s="22">
        <f>199-20</f>
        <v>179</v>
      </c>
      <c r="N142" s="11">
        <f t="shared" si="2"/>
        <v>0.68575418994413406</v>
      </c>
      <c r="O142" s="11">
        <f t="shared" si="3"/>
        <v>0.84075342465753422</v>
      </c>
      <c r="P142" s="12">
        <f t="shared" si="4"/>
        <v>726000</v>
      </c>
      <c r="Q142" s="8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2.75" customHeight="1" x14ac:dyDescent="0.25">
      <c r="A143" s="23"/>
      <c r="B143" s="13"/>
      <c r="C143" s="13"/>
      <c r="D143" s="13"/>
      <c r="E143" s="13"/>
      <c r="F143" s="13"/>
      <c r="G143" s="24"/>
      <c r="H143" s="24"/>
      <c r="I143" s="25"/>
      <c r="J143" s="13"/>
      <c r="K143" s="13"/>
      <c r="L143" s="13"/>
      <c r="M143" s="13"/>
      <c r="N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2.75" customHeight="1" x14ac:dyDescent="0.25">
      <c r="A144" s="23"/>
      <c r="B144" s="13"/>
      <c r="C144" s="13"/>
      <c r="D144" s="13"/>
      <c r="E144" s="13"/>
      <c r="F144" s="13"/>
      <c r="G144" s="24"/>
      <c r="H144" s="24"/>
      <c r="I144" s="25"/>
      <c r="J144" s="13"/>
      <c r="K144" s="13"/>
      <c r="L144" s="13"/>
      <c r="M144" s="13"/>
      <c r="N144" s="26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2.75" customHeight="1" x14ac:dyDescent="0.25">
      <c r="A145" s="23"/>
      <c r="B145" s="13"/>
      <c r="C145" s="13"/>
      <c r="D145" s="13"/>
      <c r="E145" s="13"/>
      <c r="F145" s="13"/>
      <c r="G145" s="24"/>
      <c r="H145" s="24"/>
      <c r="I145" s="25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2.75" customHeight="1" x14ac:dyDescent="0.25">
      <c r="A146" s="23"/>
      <c r="B146" s="13"/>
      <c r="C146" s="13"/>
      <c r="D146" s="13"/>
      <c r="E146" s="13"/>
      <c r="F146" s="13"/>
      <c r="G146" s="24"/>
      <c r="H146" s="24"/>
      <c r="I146" s="25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2.75" customHeight="1" x14ac:dyDescent="0.25">
      <c r="A147" s="23"/>
      <c r="B147" s="13"/>
      <c r="C147" s="13"/>
      <c r="D147" s="13"/>
      <c r="E147" s="13"/>
      <c r="F147" s="13"/>
      <c r="G147" s="24"/>
      <c r="H147" s="24"/>
      <c r="I147" s="25"/>
      <c r="J147" s="13"/>
      <c r="K147" s="13"/>
      <c r="L147" s="13"/>
      <c r="M147" s="13"/>
      <c r="N147" s="25"/>
      <c r="O147" s="27"/>
      <c r="P147" s="27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2.75" customHeight="1" x14ac:dyDescent="0.25">
      <c r="A148" s="23"/>
      <c r="B148" s="13"/>
      <c r="C148" s="13"/>
      <c r="D148" s="13"/>
      <c r="E148" s="13"/>
      <c r="F148" s="13"/>
      <c r="G148" s="24"/>
      <c r="H148" s="24"/>
      <c r="I148" s="25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2.75" customHeight="1" x14ac:dyDescent="0.25">
      <c r="A149" s="23"/>
      <c r="B149" s="13"/>
      <c r="C149" s="13"/>
      <c r="D149" s="13"/>
      <c r="E149" s="13"/>
      <c r="F149" s="13"/>
      <c r="G149" s="24"/>
      <c r="H149" s="24"/>
      <c r="I149" s="25"/>
      <c r="J149" s="28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2.75" customHeight="1" x14ac:dyDescent="0.25">
      <c r="A150" s="23"/>
      <c r="B150" s="13"/>
      <c r="C150" s="13"/>
      <c r="D150" s="13"/>
      <c r="E150" s="13"/>
      <c r="F150" s="13"/>
      <c r="G150" s="24"/>
      <c r="H150" s="24"/>
      <c r="I150" s="25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2.75" customHeight="1" x14ac:dyDescent="0.25">
      <c r="A151" s="23"/>
      <c r="B151" s="13"/>
      <c r="C151" s="13"/>
      <c r="D151" s="13"/>
      <c r="E151" s="13"/>
      <c r="F151" s="13"/>
      <c r="G151" s="24"/>
      <c r="H151" s="24"/>
      <c r="I151" s="25"/>
      <c r="J151" s="13"/>
      <c r="K151" s="13"/>
      <c r="L151" s="13"/>
      <c r="M151" s="13"/>
      <c r="N151" s="29"/>
      <c r="O151" s="30"/>
      <c r="P151" s="30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2.75" customHeight="1" x14ac:dyDescent="0.25">
      <c r="A152" s="23"/>
      <c r="B152" s="13"/>
      <c r="C152" s="13"/>
      <c r="D152" s="13"/>
      <c r="E152" s="13"/>
      <c r="F152" s="13"/>
      <c r="G152" s="24"/>
      <c r="H152" s="24"/>
      <c r="I152" s="25"/>
      <c r="J152" s="13"/>
      <c r="K152" s="13"/>
      <c r="L152" s="13"/>
      <c r="M152" s="13"/>
      <c r="N152" s="26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2.75" customHeight="1" x14ac:dyDescent="0.25">
      <c r="A153" s="23"/>
      <c r="B153" s="13"/>
      <c r="C153" s="13"/>
      <c r="D153" s="13"/>
      <c r="E153" s="13"/>
      <c r="F153" s="13"/>
      <c r="G153" s="24"/>
      <c r="H153" s="24"/>
      <c r="I153" s="25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2.75" customHeight="1" x14ac:dyDescent="0.25">
      <c r="A154" s="23"/>
      <c r="B154" s="13"/>
      <c r="C154" s="13"/>
      <c r="D154" s="13"/>
      <c r="E154" s="13"/>
      <c r="F154" s="13"/>
      <c r="G154" s="24"/>
      <c r="H154" s="24"/>
      <c r="I154" s="25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2.75" customHeight="1" x14ac:dyDescent="0.25">
      <c r="A155" s="23"/>
      <c r="B155" s="13"/>
      <c r="C155" s="13"/>
      <c r="D155" s="13"/>
      <c r="E155" s="13"/>
      <c r="F155" s="13"/>
      <c r="G155" s="24"/>
      <c r="H155" s="24"/>
      <c r="I155" s="25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2.75" customHeight="1" x14ac:dyDescent="0.25">
      <c r="A156" s="23"/>
      <c r="B156" s="13"/>
      <c r="C156" s="13"/>
      <c r="D156" s="13"/>
      <c r="E156" s="13"/>
      <c r="F156" s="13"/>
      <c r="G156" s="24"/>
      <c r="H156" s="24"/>
      <c r="I156" s="25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2.75" customHeight="1" x14ac:dyDescent="0.25">
      <c r="A157" s="23"/>
      <c r="B157" s="13"/>
      <c r="C157" s="13"/>
      <c r="D157" s="13"/>
      <c r="E157" s="13"/>
      <c r="F157" s="13"/>
      <c r="G157" s="24"/>
      <c r="H157" s="24"/>
      <c r="I157" s="25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2.75" customHeight="1" x14ac:dyDescent="0.25">
      <c r="A158" s="23"/>
      <c r="B158" s="13"/>
      <c r="C158" s="13"/>
      <c r="D158" s="13"/>
      <c r="E158" s="13"/>
      <c r="F158" s="13"/>
      <c r="G158" s="24"/>
      <c r="H158" s="24"/>
      <c r="I158" s="25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2.75" customHeight="1" x14ac:dyDescent="0.25">
      <c r="A159" s="23"/>
      <c r="B159" s="13"/>
      <c r="C159" s="13"/>
      <c r="D159" s="13"/>
      <c r="E159" s="13"/>
      <c r="F159" s="13"/>
      <c r="G159" s="24"/>
      <c r="H159" s="24"/>
      <c r="I159" s="25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2.75" customHeight="1" x14ac:dyDescent="0.25">
      <c r="A160" s="23"/>
      <c r="B160" s="13"/>
      <c r="C160" s="13"/>
      <c r="D160" s="13"/>
      <c r="E160" s="13"/>
      <c r="F160" s="13"/>
      <c r="G160" s="24"/>
      <c r="H160" s="24"/>
      <c r="I160" s="25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2.75" customHeight="1" x14ac:dyDescent="0.25">
      <c r="A161" s="23"/>
      <c r="B161" s="13"/>
      <c r="C161" s="13"/>
      <c r="D161" s="13"/>
      <c r="E161" s="13"/>
      <c r="F161" s="13"/>
      <c r="G161" s="24"/>
      <c r="H161" s="24"/>
      <c r="I161" s="25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2.75" customHeight="1" x14ac:dyDescent="0.25">
      <c r="A162" s="23"/>
      <c r="B162" s="13"/>
      <c r="C162" s="13"/>
      <c r="D162" s="13"/>
      <c r="E162" s="13"/>
      <c r="F162" s="13"/>
      <c r="G162" s="24"/>
      <c r="H162" s="24"/>
      <c r="I162" s="25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2.75" customHeight="1" x14ac:dyDescent="0.25">
      <c r="A163" s="23"/>
      <c r="B163" s="13"/>
      <c r="C163" s="13"/>
      <c r="D163" s="13"/>
      <c r="E163" s="13"/>
      <c r="F163" s="13"/>
      <c r="G163" s="24"/>
      <c r="H163" s="24"/>
      <c r="I163" s="25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2.75" customHeight="1" x14ac:dyDescent="0.25">
      <c r="A164" s="23"/>
      <c r="B164" s="13"/>
      <c r="C164" s="13"/>
      <c r="D164" s="13"/>
      <c r="E164" s="13"/>
      <c r="F164" s="13"/>
      <c r="G164" s="24"/>
      <c r="H164" s="24"/>
      <c r="I164" s="25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2.75" customHeight="1" x14ac:dyDescent="0.25">
      <c r="A165" s="23"/>
      <c r="B165" s="13"/>
      <c r="C165" s="13"/>
      <c r="D165" s="13"/>
      <c r="E165" s="13"/>
      <c r="F165" s="13"/>
      <c r="G165" s="24"/>
      <c r="H165" s="24"/>
      <c r="I165" s="25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2.75" customHeight="1" x14ac:dyDescent="0.25">
      <c r="A166" s="23"/>
      <c r="B166" s="13"/>
      <c r="C166" s="13"/>
      <c r="D166" s="13"/>
      <c r="E166" s="13"/>
      <c r="F166" s="13"/>
      <c r="G166" s="24"/>
      <c r="H166" s="24"/>
      <c r="I166" s="25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2.75" customHeight="1" x14ac:dyDescent="0.25">
      <c r="A167" s="23"/>
      <c r="B167" s="13"/>
      <c r="C167" s="13"/>
      <c r="D167" s="13"/>
      <c r="E167" s="13"/>
      <c r="F167" s="13"/>
      <c r="G167" s="24"/>
      <c r="H167" s="24"/>
      <c r="I167" s="25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2.75" customHeight="1" x14ac:dyDescent="0.25">
      <c r="A168" s="23"/>
      <c r="B168" s="13"/>
      <c r="C168" s="13"/>
      <c r="D168" s="13"/>
      <c r="E168" s="13"/>
      <c r="F168" s="13"/>
      <c r="G168" s="24"/>
      <c r="H168" s="24"/>
      <c r="I168" s="25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2.75" customHeight="1" x14ac:dyDescent="0.25">
      <c r="A169" s="23"/>
      <c r="B169" s="13"/>
      <c r="C169" s="13"/>
      <c r="D169" s="13"/>
      <c r="E169" s="13"/>
      <c r="F169" s="13"/>
      <c r="G169" s="24"/>
      <c r="H169" s="24"/>
      <c r="I169" s="25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2.75" customHeight="1" x14ac:dyDescent="0.25">
      <c r="A170" s="23"/>
      <c r="B170" s="13"/>
      <c r="C170" s="13"/>
      <c r="D170" s="13"/>
      <c r="E170" s="13"/>
      <c r="F170" s="13"/>
      <c r="G170" s="24"/>
      <c r="H170" s="24"/>
      <c r="I170" s="25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2.75" customHeight="1" x14ac:dyDescent="0.25">
      <c r="A171" s="23"/>
      <c r="B171" s="13"/>
      <c r="C171" s="13"/>
      <c r="D171" s="13"/>
      <c r="E171" s="13"/>
      <c r="F171" s="13"/>
      <c r="G171" s="24"/>
      <c r="H171" s="24"/>
      <c r="I171" s="25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2.75" customHeight="1" x14ac:dyDescent="0.25">
      <c r="A172" s="23"/>
      <c r="B172" s="13"/>
      <c r="C172" s="13"/>
      <c r="D172" s="13"/>
      <c r="E172" s="13"/>
      <c r="F172" s="13"/>
      <c r="G172" s="24"/>
      <c r="H172" s="24"/>
      <c r="I172" s="25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2.75" customHeight="1" x14ac:dyDescent="0.25">
      <c r="A173" s="23"/>
      <c r="B173" s="13"/>
      <c r="C173" s="13"/>
      <c r="D173" s="13"/>
      <c r="E173" s="13"/>
      <c r="F173" s="13"/>
      <c r="G173" s="24"/>
      <c r="H173" s="24"/>
      <c r="I173" s="25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2.75" customHeight="1" x14ac:dyDescent="0.25">
      <c r="A174" s="23"/>
      <c r="B174" s="13"/>
      <c r="C174" s="13"/>
      <c r="D174" s="13"/>
      <c r="E174" s="13"/>
      <c r="F174" s="13"/>
      <c r="G174" s="24"/>
      <c r="H174" s="24"/>
      <c r="I174" s="25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2.75" customHeight="1" x14ac:dyDescent="0.25">
      <c r="A175" s="23"/>
      <c r="B175" s="13"/>
      <c r="C175" s="13"/>
      <c r="D175" s="13"/>
      <c r="E175" s="13"/>
      <c r="F175" s="13"/>
      <c r="G175" s="24"/>
      <c r="H175" s="24"/>
      <c r="I175" s="25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2.75" customHeight="1" x14ac:dyDescent="0.25">
      <c r="A176" s="23"/>
      <c r="B176" s="13"/>
      <c r="C176" s="13"/>
      <c r="D176" s="13"/>
      <c r="E176" s="13"/>
      <c r="F176" s="13"/>
      <c r="G176" s="24"/>
      <c r="H176" s="24"/>
      <c r="I176" s="25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2.75" customHeight="1" x14ac:dyDescent="0.25">
      <c r="A177" s="23"/>
      <c r="B177" s="13"/>
      <c r="C177" s="13"/>
      <c r="D177" s="13"/>
      <c r="E177" s="13"/>
      <c r="F177" s="13"/>
      <c r="G177" s="24"/>
      <c r="H177" s="24"/>
      <c r="I177" s="25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2.75" customHeight="1" x14ac:dyDescent="0.25">
      <c r="A178" s="23"/>
      <c r="B178" s="13"/>
      <c r="C178" s="13"/>
      <c r="D178" s="13"/>
      <c r="E178" s="13"/>
      <c r="F178" s="13"/>
      <c r="G178" s="24"/>
      <c r="H178" s="24"/>
      <c r="I178" s="25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2.75" customHeight="1" x14ac:dyDescent="0.25">
      <c r="A179" s="23"/>
      <c r="B179" s="13"/>
      <c r="C179" s="13"/>
      <c r="D179" s="13"/>
      <c r="E179" s="13"/>
      <c r="F179" s="13"/>
      <c r="G179" s="24"/>
      <c r="H179" s="24"/>
      <c r="I179" s="25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2.75" customHeight="1" x14ac:dyDescent="0.25">
      <c r="A180" s="23"/>
      <c r="B180" s="13"/>
      <c r="C180" s="13"/>
      <c r="D180" s="13"/>
      <c r="E180" s="13"/>
      <c r="F180" s="13"/>
      <c r="G180" s="24"/>
      <c r="H180" s="24"/>
      <c r="I180" s="25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2.75" customHeight="1" x14ac:dyDescent="0.25">
      <c r="A181" s="23"/>
      <c r="B181" s="13"/>
      <c r="C181" s="13"/>
      <c r="D181" s="13"/>
      <c r="E181" s="13"/>
      <c r="F181" s="13"/>
      <c r="G181" s="24"/>
      <c r="H181" s="24"/>
      <c r="I181" s="25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2.75" customHeight="1" x14ac:dyDescent="0.25">
      <c r="A182" s="23"/>
      <c r="B182" s="13"/>
      <c r="C182" s="13"/>
      <c r="D182" s="13"/>
      <c r="E182" s="13"/>
      <c r="F182" s="13"/>
      <c r="G182" s="24"/>
      <c r="H182" s="24"/>
      <c r="I182" s="25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2.75" customHeight="1" x14ac:dyDescent="0.25">
      <c r="A183" s="23"/>
      <c r="B183" s="13"/>
      <c r="C183" s="13"/>
      <c r="D183" s="13"/>
      <c r="E183" s="13"/>
      <c r="F183" s="13"/>
      <c r="G183" s="24"/>
      <c r="H183" s="24"/>
      <c r="I183" s="25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2.75" customHeight="1" x14ac:dyDescent="0.25">
      <c r="A184" s="23"/>
      <c r="B184" s="13"/>
      <c r="C184" s="13"/>
      <c r="D184" s="13"/>
      <c r="E184" s="13"/>
      <c r="F184" s="13"/>
      <c r="G184" s="24"/>
      <c r="H184" s="24"/>
      <c r="I184" s="25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2.75" customHeight="1" x14ac:dyDescent="0.25">
      <c r="A185" s="23"/>
      <c r="B185" s="13"/>
      <c r="C185" s="13"/>
      <c r="D185" s="13"/>
      <c r="E185" s="13"/>
      <c r="F185" s="13"/>
      <c r="G185" s="24"/>
      <c r="H185" s="24"/>
      <c r="I185" s="25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2.75" customHeight="1" x14ac:dyDescent="0.25">
      <c r="A186" s="23"/>
      <c r="B186" s="13"/>
      <c r="C186" s="13"/>
      <c r="D186" s="13"/>
      <c r="E186" s="13"/>
      <c r="F186" s="13"/>
      <c r="G186" s="24"/>
      <c r="H186" s="24"/>
      <c r="I186" s="25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2.75" customHeight="1" x14ac:dyDescent="0.25">
      <c r="A187" s="23"/>
      <c r="B187" s="13"/>
      <c r="C187" s="13"/>
      <c r="D187" s="13"/>
      <c r="E187" s="13"/>
      <c r="F187" s="13"/>
      <c r="G187" s="24"/>
      <c r="H187" s="24"/>
      <c r="I187" s="25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2.75" customHeight="1" x14ac:dyDescent="0.25">
      <c r="A188" s="23"/>
      <c r="B188" s="13"/>
      <c r="C188" s="13"/>
      <c r="D188" s="13"/>
      <c r="E188" s="13"/>
      <c r="F188" s="13"/>
      <c r="G188" s="24"/>
      <c r="H188" s="24"/>
      <c r="I188" s="25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2.75" customHeight="1" x14ac:dyDescent="0.25">
      <c r="A189" s="23"/>
      <c r="B189" s="13"/>
      <c r="C189" s="13"/>
      <c r="D189" s="13"/>
      <c r="E189" s="13"/>
      <c r="F189" s="13"/>
      <c r="G189" s="24"/>
      <c r="H189" s="24"/>
      <c r="I189" s="25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2.75" customHeight="1" x14ac:dyDescent="0.25">
      <c r="A190" s="23"/>
      <c r="B190" s="13"/>
      <c r="C190" s="13"/>
      <c r="D190" s="13"/>
      <c r="E190" s="13"/>
      <c r="F190" s="13"/>
      <c r="G190" s="24"/>
      <c r="H190" s="24"/>
      <c r="I190" s="25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2.75" customHeight="1" x14ac:dyDescent="0.25">
      <c r="A191" s="23"/>
      <c r="B191" s="13"/>
      <c r="C191" s="13"/>
      <c r="D191" s="13"/>
      <c r="E191" s="13"/>
      <c r="F191" s="13"/>
      <c r="G191" s="24"/>
      <c r="H191" s="24"/>
      <c r="I191" s="25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2.75" customHeight="1" x14ac:dyDescent="0.25">
      <c r="A192" s="23"/>
      <c r="B192" s="13"/>
      <c r="C192" s="13"/>
      <c r="D192" s="13"/>
      <c r="E192" s="13"/>
      <c r="F192" s="13"/>
      <c r="G192" s="24"/>
      <c r="H192" s="24"/>
      <c r="I192" s="25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2.75" customHeight="1" x14ac:dyDescent="0.25">
      <c r="A193" s="23"/>
      <c r="B193" s="13"/>
      <c r="C193" s="13"/>
      <c r="D193" s="13"/>
      <c r="E193" s="13"/>
      <c r="F193" s="13"/>
      <c r="G193" s="24"/>
      <c r="H193" s="24"/>
      <c r="I193" s="25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2.75" customHeight="1" x14ac:dyDescent="0.25">
      <c r="A194" s="23"/>
      <c r="B194" s="13"/>
      <c r="C194" s="13"/>
      <c r="D194" s="13"/>
      <c r="E194" s="13"/>
      <c r="F194" s="13"/>
      <c r="G194" s="24"/>
      <c r="H194" s="24"/>
      <c r="I194" s="25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2.75" customHeight="1" x14ac:dyDescent="0.25">
      <c r="A195" s="23"/>
      <c r="B195" s="13"/>
      <c r="C195" s="13"/>
      <c r="D195" s="13"/>
      <c r="E195" s="13"/>
      <c r="F195" s="13"/>
      <c r="G195" s="24"/>
      <c r="H195" s="24"/>
      <c r="I195" s="25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2.75" customHeight="1" x14ac:dyDescent="0.25">
      <c r="A196" s="23"/>
      <c r="B196" s="13"/>
      <c r="C196" s="13"/>
      <c r="D196" s="13"/>
      <c r="E196" s="13"/>
      <c r="F196" s="13"/>
      <c r="G196" s="24"/>
      <c r="H196" s="24"/>
      <c r="I196" s="25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2.75" customHeight="1" x14ac:dyDescent="0.25">
      <c r="A197" s="23"/>
      <c r="B197" s="13"/>
      <c r="C197" s="13"/>
      <c r="D197" s="13"/>
      <c r="E197" s="13"/>
      <c r="F197" s="13"/>
      <c r="G197" s="24"/>
      <c r="H197" s="24"/>
      <c r="I197" s="25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2.75" customHeight="1" x14ac:dyDescent="0.25">
      <c r="A198" s="23"/>
      <c r="B198" s="13"/>
      <c r="C198" s="13"/>
      <c r="D198" s="13"/>
      <c r="E198" s="13"/>
      <c r="F198" s="13"/>
      <c r="G198" s="24"/>
      <c r="H198" s="24"/>
      <c r="I198" s="25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2.75" customHeight="1" x14ac:dyDescent="0.25">
      <c r="A199" s="23"/>
      <c r="B199" s="13"/>
      <c r="C199" s="13"/>
      <c r="D199" s="13"/>
      <c r="E199" s="13"/>
      <c r="F199" s="13"/>
      <c r="G199" s="24"/>
      <c r="H199" s="24"/>
      <c r="I199" s="25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2.75" customHeight="1" x14ac:dyDescent="0.25">
      <c r="A200" s="23"/>
      <c r="B200" s="13"/>
      <c r="C200" s="13"/>
      <c r="D200" s="13"/>
      <c r="E200" s="13"/>
      <c r="F200" s="13"/>
      <c r="G200" s="24"/>
      <c r="H200" s="24"/>
      <c r="I200" s="25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2.75" customHeight="1" x14ac:dyDescent="0.25">
      <c r="A201" s="23"/>
      <c r="B201" s="13"/>
      <c r="C201" s="13"/>
      <c r="D201" s="13"/>
      <c r="E201" s="13"/>
      <c r="F201" s="13"/>
      <c r="G201" s="24"/>
      <c r="H201" s="24"/>
      <c r="I201" s="25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2.75" customHeight="1" x14ac:dyDescent="0.25">
      <c r="A202" s="23"/>
      <c r="B202" s="13"/>
      <c r="C202" s="13"/>
      <c r="D202" s="13"/>
      <c r="E202" s="13"/>
      <c r="F202" s="13"/>
      <c r="G202" s="24"/>
      <c r="H202" s="24"/>
      <c r="I202" s="25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2.75" customHeight="1" x14ac:dyDescent="0.25">
      <c r="A203" s="23"/>
      <c r="B203" s="13"/>
      <c r="C203" s="13"/>
      <c r="D203" s="13"/>
      <c r="E203" s="13"/>
      <c r="F203" s="13"/>
      <c r="G203" s="24"/>
      <c r="H203" s="24"/>
      <c r="I203" s="25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2.75" customHeight="1" x14ac:dyDescent="0.25">
      <c r="A204" s="23"/>
      <c r="B204" s="13"/>
      <c r="C204" s="13"/>
      <c r="D204" s="13"/>
      <c r="E204" s="13"/>
      <c r="F204" s="13"/>
      <c r="G204" s="24"/>
      <c r="H204" s="24"/>
      <c r="I204" s="25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2.75" customHeight="1" x14ac:dyDescent="0.25">
      <c r="A205" s="23"/>
      <c r="B205" s="13"/>
      <c r="C205" s="13"/>
      <c r="D205" s="13"/>
      <c r="E205" s="13"/>
      <c r="F205" s="13"/>
      <c r="G205" s="24"/>
      <c r="H205" s="24"/>
      <c r="I205" s="25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2.75" customHeight="1" x14ac:dyDescent="0.25">
      <c r="A206" s="23"/>
      <c r="B206" s="13"/>
      <c r="C206" s="13"/>
      <c r="D206" s="13"/>
      <c r="E206" s="13"/>
      <c r="F206" s="13"/>
      <c r="G206" s="24"/>
      <c r="H206" s="24"/>
      <c r="I206" s="25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2.75" customHeight="1" x14ac:dyDescent="0.25">
      <c r="A207" s="23"/>
      <c r="B207" s="13"/>
      <c r="C207" s="13"/>
      <c r="D207" s="13"/>
      <c r="E207" s="13"/>
      <c r="F207" s="13"/>
      <c r="G207" s="24"/>
      <c r="H207" s="24"/>
      <c r="I207" s="25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2.75" customHeight="1" x14ac:dyDescent="0.25">
      <c r="A208" s="23"/>
      <c r="B208" s="13"/>
      <c r="C208" s="13"/>
      <c r="D208" s="13"/>
      <c r="E208" s="13"/>
      <c r="F208" s="13"/>
      <c r="G208" s="24"/>
      <c r="H208" s="24"/>
      <c r="I208" s="25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2.75" customHeight="1" x14ac:dyDescent="0.25">
      <c r="A209" s="23"/>
      <c r="B209" s="13"/>
      <c r="C209" s="13"/>
      <c r="D209" s="13"/>
      <c r="E209" s="13"/>
      <c r="F209" s="13"/>
      <c r="G209" s="24"/>
      <c r="H209" s="24"/>
      <c r="I209" s="25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2.75" customHeight="1" x14ac:dyDescent="0.25">
      <c r="A210" s="23"/>
      <c r="B210" s="13"/>
      <c r="C210" s="13"/>
      <c r="D210" s="13"/>
      <c r="E210" s="13"/>
      <c r="F210" s="13"/>
      <c r="G210" s="24"/>
      <c r="H210" s="24"/>
      <c r="I210" s="25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2.75" customHeight="1" x14ac:dyDescent="0.25">
      <c r="A211" s="23"/>
      <c r="B211" s="13"/>
      <c r="C211" s="13"/>
      <c r="D211" s="13"/>
      <c r="E211" s="13"/>
      <c r="F211" s="13"/>
      <c r="G211" s="24"/>
      <c r="H211" s="24"/>
      <c r="I211" s="25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2.75" customHeight="1" x14ac:dyDescent="0.25">
      <c r="A212" s="23"/>
      <c r="B212" s="13"/>
      <c r="C212" s="13"/>
      <c r="D212" s="13"/>
      <c r="E212" s="13"/>
      <c r="F212" s="13"/>
      <c r="G212" s="24"/>
      <c r="H212" s="24"/>
      <c r="I212" s="25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2.75" customHeight="1" x14ac:dyDescent="0.25">
      <c r="A213" s="23"/>
      <c r="B213" s="13"/>
      <c r="C213" s="13"/>
      <c r="D213" s="13"/>
      <c r="E213" s="13"/>
      <c r="F213" s="13"/>
      <c r="G213" s="24"/>
      <c r="H213" s="24"/>
      <c r="I213" s="25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2.75" customHeight="1" x14ac:dyDescent="0.25">
      <c r="A214" s="23"/>
      <c r="B214" s="13"/>
      <c r="C214" s="13"/>
      <c r="D214" s="13"/>
      <c r="E214" s="13"/>
      <c r="F214" s="13"/>
      <c r="G214" s="24"/>
      <c r="H214" s="24"/>
      <c r="I214" s="25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2.75" customHeight="1" x14ac:dyDescent="0.25">
      <c r="A215" s="23"/>
      <c r="B215" s="13"/>
      <c r="C215" s="13"/>
      <c r="D215" s="13"/>
      <c r="E215" s="13"/>
      <c r="F215" s="13"/>
      <c r="G215" s="24"/>
      <c r="H215" s="24"/>
      <c r="I215" s="25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2.75" customHeight="1" x14ac:dyDescent="0.25">
      <c r="A216" s="23"/>
      <c r="B216" s="13"/>
      <c r="C216" s="13"/>
      <c r="D216" s="13"/>
      <c r="E216" s="13"/>
      <c r="F216" s="13"/>
      <c r="G216" s="24"/>
      <c r="H216" s="24"/>
      <c r="I216" s="25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2.75" customHeight="1" x14ac:dyDescent="0.25">
      <c r="A217" s="23"/>
      <c r="B217" s="13"/>
      <c r="C217" s="13"/>
      <c r="D217" s="13"/>
      <c r="E217" s="13"/>
      <c r="F217" s="13"/>
      <c r="G217" s="24"/>
      <c r="H217" s="24"/>
      <c r="I217" s="25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2.75" customHeight="1" x14ac:dyDescent="0.25">
      <c r="A218" s="23"/>
      <c r="B218" s="13"/>
      <c r="C218" s="13"/>
      <c r="D218" s="13"/>
      <c r="E218" s="13"/>
      <c r="F218" s="13"/>
      <c r="G218" s="24"/>
      <c r="H218" s="24"/>
      <c r="I218" s="25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2.75" customHeight="1" x14ac:dyDescent="0.25">
      <c r="A219" s="23"/>
      <c r="B219" s="13"/>
      <c r="C219" s="13"/>
      <c r="D219" s="13"/>
      <c r="E219" s="13"/>
      <c r="F219" s="13"/>
      <c r="G219" s="24"/>
      <c r="H219" s="24"/>
      <c r="I219" s="25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2.75" customHeight="1" x14ac:dyDescent="0.25">
      <c r="A220" s="23"/>
      <c r="B220" s="13"/>
      <c r="C220" s="13"/>
      <c r="D220" s="13"/>
      <c r="E220" s="13"/>
      <c r="F220" s="13"/>
      <c r="G220" s="24"/>
      <c r="H220" s="24"/>
      <c r="I220" s="25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2.75" customHeight="1" x14ac:dyDescent="0.25">
      <c r="A221" s="23"/>
      <c r="B221" s="13"/>
      <c r="C221" s="13"/>
      <c r="D221" s="13"/>
      <c r="E221" s="13"/>
      <c r="F221" s="13"/>
      <c r="G221" s="24"/>
      <c r="H221" s="24"/>
      <c r="I221" s="25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2.75" customHeight="1" x14ac:dyDescent="0.25">
      <c r="A222" s="23"/>
      <c r="B222" s="13"/>
      <c r="C222" s="13"/>
      <c r="D222" s="13"/>
      <c r="E222" s="13"/>
      <c r="F222" s="13"/>
      <c r="G222" s="24"/>
      <c r="H222" s="24"/>
      <c r="I222" s="25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2.75" customHeight="1" x14ac:dyDescent="0.25">
      <c r="A223" s="23"/>
      <c r="B223" s="13"/>
      <c r="C223" s="13"/>
      <c r="D223" s="13"/>
      <c r="E223" s="13"/>
      <c r="F223" s="13"/>
      <c r="G223" s="24"/>
      <c r="H223" s="24"/>
      <c r="I223" s="25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2.75" customHeight="1" x14ac:dyDescent="0.25">
      <c r="A224" s="23"/>
      <c r="B224" s="13"/>
      <c r="C224" s="13"/>
      <c r="D224" s="13"/>
      <c r="E224" s="13"/>
      <c r="F224" s="13"/>
      <c r="G224" s="24"/>
      <c r="H224" s="24"/>
      <c r="I224" s="25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2.75" customHeight="1" x14ac:dyDescent="0.25">
      <c r="A225" s="23"/>
      <c r="B225" s="13"/>
      <c r="C225" s="13"/>
      <c r="D225" s="13"/>
      <c r="E225" s="13"/>
      <c r="F225" s="13"/>
      <c r="G225" s="24"/>
      <c r="H225" s="24"/>
      <c r="I225" s="25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2.75" customHeight="1" x14ac:dyDescent="0.25">
      <c r="A226" s="23"/>
      <c r="B226" s="13"/>
      <c r="C226" s="13"/>
      <c r="D226" s="13"/>
      <c r="E226" s="13"/>
      <c r="F226" s="13"/>
      <c r="G226" s="24"/>
      <c r="H226" s="24"/>
      <c r="I226" s="25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2.75" customHeight="1" x14ac:dyDescent="0.25">
      <c r="A227" s="23"/>
      <c r="B227" s="13"/>
      <c r="C227" s="13"/>
      <c r="D227" s="13"/>
      <c r="E227" s="13"/>
      <c r="F227" s="13"/>
      <c r="G227" s="24"/>
      <c r="H227" s="24"/>
      <c r="I227" s="25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2.75" customHeight="1" x14ac:dyDescent="0.25">
      <c r="A228" s="23"/>
      <c r="B228" s="13"/>
      <c r="C228" s="13"/>
      <c r="D228" s="13"/>
      <c r="E228" s="13"/>
      <c r="F228" s="13"/>
      <c r="G228" s="24"/>
      <c r="H228" s="24"/>
      <c r="I228" s="25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2.75" customHeight="1" x14ac:dyDescent="0.25">
      <c r="A229" s="23"/>
      <c r="B229" s="13"/>
      <c r="C229" s="13"/>
      <c r="D229" s="13"/>
      <c r="E229" s="13"/>
      <c r="F229" s="13"/>
      <c r="G229" s="24"/>
      <c r="H229" s="24"/>
      <c r="I229" s="25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2.75" customHeight="1" x14ac:dyDescent="0.25">
      <c r="A230" s="23"/>
      <c r="B230" s="13"/>
      <c r="C230" s="13"/>
      <c r="D230" s="13"/>
      <c r="E230" s="13"/>
      <c r="F230" s="13"/>
      <c r="G230" s="24"/>
      <c r="H230" s="24"/>
      <c r="I230" s="25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2.75" customHeight="1" x14ac:dyDescent="0.25">
      <c r="A231" s="23"/>
      <c r="B231" s="13"/>
      <c r="C231" s="13"/>
      <c r="D231" s="13"/>
      <c r="E231" s="13"/>
      <c r="F231" s="13"/>
      <c r="G231" s="24"/>
      <c r="H231" s="24"/>
      <c r="I231" s="25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2.75" customHeight="1" x14ac:dyDescent="0.25">
      <c r="A232" s="23"/>
      <c r="B232" s="13"/>
      <c r="C232" s="13"/>
      <c r="D232" s="13"/>
      <c r="E232" s="13"/>
      <c r="F232" s="13"/>
      <c r="G232" s="24"/>
      <c r="H232" s="24"/>
      <c r="I232" s="25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2.75" customHeight="1" x14ac:dyDescent="0.25">
      <c r="A233" s="23"/>
      <c r="B233" s="13"/>
      <c r="C233" s="13"/>
      <c r="D233" s="13"/>
      <c r="E233" s="13"/>
      <c r="F233" s="13"/>
      <c r="G233" s="24"/>
      <c r="H233" s="24"/>
      <c r="I233" s="25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2.75" customHeight="1" x14ac:dyDescent="0.25">
      <c r="A234" s="23"/>
      <c r="B234" s="13"/>
      <c r="C234" s="13"/>
      <c r="D234" s="13"/>
      <c r="E234" s="13"/>
      <c r="F234" s="13"/>
      <c r="G234" s="24"/>
      <c r="H234" s="24"/>
      <c r="I234" s="25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2.75" customHeight="1" x14ac:dyDescent="0.25">
      <c r="A235" s="23"/>
      <c r="B235" s="13"/>
      <c r="C235" s="13"/>
      <c r="D235" s="13"/>
      <c r="E235" s="13"/>
      <c r="F235" s="13"/>
      <c r="G235" s="24"/>
      <c r="H235" s="24"/>
      <c r="I235" s="25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2.75" customHeight="1" x14ac:dyDescent="0.25">
      <c r="A236" s="23"/>
      <c r="B236" s="13"/>
      <c r="C236" s="13"/>
      <c r="D236" s="13"/>
      <c r="E236" s="13"/>
      <c r="F236" s="13"/>
      <c r="G236" s="24"/>
      <c r="H236" s="24"/>
      <c r="I236" s="25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2.75" customHeight="1" x14ac:dyDescent="0.25">
      <c r="A237" s="23"/>
      <c r="B237" s="13"/>
      <c r="C237" s="13"/>
      <c r="D237" s="13"/>
      <c r="E237" s="13"/>
      <c r="F237" s="13"/>
      <c r="G237" s="24"/>
      <c r="H237" s="24"/>
      <c r="I237" s="25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2.75" customHeight="1" x14ac:dyDescent="0.25">
      <c r="A238" s="23"/>
      <c r="B238" s="13"/>
      <c r="C238" s="13"/>
      <c r="D238" s="13"/>
      <c r="E238" s="13"/>
      <c r="F238" s="13"/>
      <c r="G238" s="24"/>
      <c r="H238" s="24"/>
      <c r="I238" s="25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2.75" customHeight="1" x14ac:dyDescent="0.25">
      <c r="A239" s="23"/>
      <c r="B239" s="13"/>
      <c r="C239" s="13"/>
      <c r="D239" s="13"/>
      <c r="E239" s="13"/>
      <c r="F239" s="13"/>
      <c r="G239" s="24"/>
      <c r="H239" s="24"/>
      <c r="I239" s="25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2.75" customHeight="1" x14ac:dyDescent="0.25">
      <c r="A240" s="23"/>
      <c r="B240" s="13"/>
      <c r="C240" s="13"/>
      <c r="D240" s="13"/>
      <c r="E240" s="13"/>
      <c r="F240" s="13"/>
      <c r="G240" s="24"/>
      <c r="H240" s="24"/>
      <c r="I240" s="25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2.75" customHeight="1" x14ac:dyDescent="0.25">
      <c r="A241" s="23"/>
      <c r="B241" s="13"/>
      <c r="C241" s="13"/>
      <c r="D241" s="13"/>
      <c r="E241" s="13"/>
      <c r="F241" s="13"/>
      <c r="G241" s="24"/>
      <c r="H241" s="24"/>
      <c r="I241" s="25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2.75" customHeight="1" x14ac:dyDescent="0.25">
      <c r="A242" s="23"/>
      <c r="B242" s="13"/>
      <c r="C242" s="13"/>
      <c r="D242" s="13"/>
      <c r="E242" s="13"/>
      <c r="F242" s="13"/>
      <c r="G242" s="24"/>
      <c r="H242" s="24"/>
      <c r="I242" s="25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2.75" customHeight="1" x14ac:dyDescent="0.25">
      <c r="A243" s="23"/>
      <c r="B243" s="13"/>
      <c r="C243" s="13"/>
      <c r="D243" s="13"/>
      <c r="E243" s="13"/>
      <c r="F243" s="13"/>
      <c r="G243" s="24"/>
      <c r="H243" s="24"/>
      <c r="I243" s="25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2.75" customHeight="1" x14ac:dyDescent="0.25">
      <c r="A244" s="23"/>
      <c r="B244" s="13"/>
      <c r="C244" s="13"/>
      <c r="D244" s="13"/>
      <c r="E244" s="13"/>
      <c r="F244" s="13"/>
      <c r="G244" s="24"/>
      <c r="H244" s="24"/>
      <c r="I244" s="25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2.75" customHeight="1" x14ac:dyDescent="0.25">
      <c r="A245" s="23"/>
      <c r="B245" s="13"/>
      <c r="C245" s="13"/>
      <c r="D245" s="13"/>
      <c r="E245" s="13"/>
      <c r="F245" s="13"/>
      <c r="G245" s="24"/>
      <c r="H245" s="24"/>
      <c r="I245" s="25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2.75" customHeight="1" x14ac:dyDescent="0.25">
      <c r="A246" s="23"/>
      <c r="B246" s="13"/>
      <c r="C246" s="13"/>
      <c r="D246" s="13"/>
      <c r="E246" s="13"/>
      <c r="F246" s="13"/>
      <c r="G246" s="24"/>
      <c r="H246" s="24"/>
      <c r="I246" s="25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2.75" customHeight="1" x14ac:dyDescent="0.25">
      <c r="A247" s="23"/>
      <c r="B247" s="13"/>
      <c r="C247" s="13"/>
      <c r="D247" s="13"/>
      <c r="E247" s="13"/>
      <c r="F247" s="13"/>
      <c r="G247" s="24"/>
      <c r="H247" s="24"/>
      <c r="I247" s="25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2.75" customHeight="1" x14ac:dyDescent="0.25">
      <c r="A248" s="23"/>
      <c r="B248" s="13"/>
      <c r="C248" s="13"/>
      <c r="D248" s="13"/>
      <c r="E248" s="13"/>
      <c r="F248" s="13"/>
      <c r="G248" s="24"/>
      <c r="H248" s="24"/>
      <c r="I248" s="25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2.75" customHeight="1" x14ac:dyDescent="0.25">
      <c r="A249" s="23"/>
      <c r="B249" s="13"/>
      <c r="C249" s="13"/>
      <c r="D249" s="13"/>
      <c r="E249" s="13"/>
      <c r="F249" s="13"/>
      <c r="G249" s="24"/>
      <c r="H249" s="24"/>
      <c r="I249" s="25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2.75" customHeight="1" x14ac:dyDescent="0.25">
      <c r="A250" s="23"/>
      <c r="B250" s="13"/>
      <c r="C250" s="13"/>
      <c r="D250" s="13"/>
      <c r="E250" s="13"/>
      <c r="F250" s="13"/>
      <c r="G250" s="24"/>
      <c r="H250" s="24"/>
      <c r="I250" s="25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2.75" customHeight="1" x14ac:dyDescent="0.25">
      <c r="A251" s="23"/>
      <c r="B251" s="13"/>
      <c r="C251" s="13"/>
      <c r="D251" s="13"/>
      <c r="E251" s="13"/>
      <c r="F251" s="13"/>
      <c r="G251" s="24"/>
      <c r="H251" s="24"/>
      <c r="I251" s="25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2.75" customHeight="1" x14ac:dyDescent="0.25">
      <c r="A252" s="23"/>
      <c r="B252" s="13"/>
      <c r="C252" s="13"/>
      <c r="D252" s="13"/>
      <c r="E252" s="13"/>
      <c r="F252" s="13"/>
      <c r="G252" s="24"/>
      <c r="H252" s="24"/>
      <c r="I252" s="25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2.75" customHeight="1" x14ac:dyDescent="0.25">
      <c r="A253" s="23"/>
      <c r="B253" s="13"/>
      <c r="C253" s="13"/>
      <c r="D253" s="13"/>
      <c r="E253" s="13"/>
      <c r="F253" s="13"/>
      <c r="G253" s="24"/>
      <c r="H253" s="24"/>
      <c r="I253" s="25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2.75" customHeight="1" x14ac:dyDescent="0.25">
      <c r="A254" s="23"/>
      <c r="B254" s="13"/>
      <c r="C254" s="13"/>
      <c r="D254" s="13"/>
      <c r="E254" s="13"/>
      <c r="F254" s="13"/>
      <c r="G254" s="24"/>
      <c r="H254" s="24"/>
      <c r="I254" s="25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2.75" customHeight="1" x14ac:dyDescent="0.25">
      <c r="A255" s="23"/>
      <c r="B255" s="13"/>
      <c r="C255" s="13"/>
      <c r="D255" s="13"/>
      <c r="E255" s="13"/>
      <c r="F255" s="13"/>
      <c r="G255" s="24"/>
      <c r="H255" s="24"/>
      <c r="I255" s="25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2.75" customHeight="1" x14ac:dyDescent="0.25">
      <c r="A256" s="23"/>
      <c r="B256" s="13"/>
      <c r="C256" s="13"/>
      <c r="D256" s="13"/>
      <c r="E256" s="13"/>
      <c r="F256" s="13"/>
      <c r="G256" s="24"/>
      <c r="H256" s="24"/>
      <c r="I256" s="25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2.75" customHeight="1" x14ac:dyDescent="0.25">
      <c r="A257" s="23"/>
      <c r="B257" s="13"/>
      <c r="C257" s="13"/>
      <c r="D257" s="13"/>
      <c r="E257" s="13"/>
      <c r="F257" s="13"/>
      <c r="G257" s="24"/>
      <c r="H257" s="24"/>
      <c r="I257" s="25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2.75" customHeight="1" x14ac:dyDescent="0.25">
      <c r="A258" s="23"/>
      <c r="B258" s="13"/>
      <c r="C258" s="13"/>
      <c r="D258" s="13"/>
      <c r="E258" s="13"/>
      <c r="F258" s="13"/>
      <c r="G258" s="24"/>
      <c r="H258" s="24"/>
      <c r="I258" s="25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2.75" customHeight="1" x14ac:dyDescent="0.25">
      <c r="A259" s="23"/>
      <c r="B259" s="13"/>
      <c r="C259" s="13"/>
      <c r="D259" s="13"/>
      <c r="E259" s="13"/>
      <c r="F259" s="13"/>
      <c r="G259" s="24"/>
      <c r="H259" s="24"/>
      <c r="I259" s="25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2.75" customHeight="1" x14ac:dyDescent="0.25">
      <c r="A260" s="23"/>
      <c r="B260" s="13"/>
      <c r="C260" s="13"/>
      <c r="D260" s="13"/>
      <c r="E260" s="13"/>
      <c r="F260" s="13"/>
      <c r="G260" s="24"/>
      <c r="H260" s="24"/>
      <c r="I260" s="25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2.75" customHeight="1" x14ac:dyDescent="0.25">
      <c r="A261" s="23"/>
      <c r="B261" s="13"/>
      <c r="C261" s="13"/>
      <c r="D261" s="13"/>
      <c r="E261" s="13"/>
      <c r="F261" s="13"/>
      <c r="G261" s="24"/>
      <c r="H261" s="24"/>
      <c r="I261" s="25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2.75" customHeight="1" x14ac:dyDescent="0.25">
      <c r="A262" s="23"/>
      <c r="B262" s="13"/>
      <c r="C262" s="13"/>
      <c r="D262" s="13"/>
      <c r="E262" s="13"/>
      <c r="F262" s="13"/>
      <c r="G262" s="24"/>
      <c r="H262" s="24"/>
      <c r="I262" s="25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2.75" customHeight="1" x14ac:dyDescent="0.25">
      <c r="A263" s="23"/>
      <c r="B263" s="13"/>
      <c r="C263" s="13"/>
      <c r="D263" s="13"/>
      <c r="E263" s="13"/>
      <c r="F263" s="13"/>
      <c r="G263" s="24"/>
      <c r="H263" s="24"/>
      <c r="I263" s="25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2.75" customHeight="1" x14ac:dyDescent="0.25">
      <c r="A264" s="23"/>
      <c r="B264" s="13"/>
      <c r="C264" s="13"/>
      <c r="D264" s="13"/>
      <c r="E264" s="13"/>
      <c r="F264" s="13"/>
      <c r="G264" s="24"/>
      <c r="H264" s="24"/>
      <c r="I264" s="25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2.75" customHeight="1" x14ac:dyDescent="0.25">
      <c r="A265" s="23"/>
      <c r="B265" s="13"/>
      <c r="C265" s="13"/>
      <c r="D265" s="13"/>
      <c r="E265" s="13"/>
      <c r="F265" s="13"/>
      <c r="G265" s="24"/>
      <c r="H265" s="24"/>
      <c r="I265" s="25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2.75" customHeight="1" x14ac:dyDescent="0.25">
      <c r="A266" s="23"/>
      <c r="B266" s="13"/>
      <c r="C266" s="13"/>
      <c r="D266" s="13"/>
      <c r="E266" s="13"/>
      <c r="F266" s="13"/>
      <c r="G266" s="24"/>
      <c r="H266" s="24"/>
      <c r="I266" s="25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2.75" customHeight="1" x14ac:dyDescent="0.25">
      <c r="A267" s="23"/>
      <c r="B267" s="13"/>
      <c r="C267" s="13"/>
      <c r="D267" s="13"/>
      <c r="E267" s="13"/>
      <c r="F267" s="13"/>
      <c r="G267" s="24"/>
      <c r="H267" s="24"/>
      <c r="I267" s="25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2.75" customHeight="1" x14ac:dyDescent="0.25">
      <c r="A268" s="23"/>
      <c r="B268" s="13"/>
      <c r="C268" s="13"/>
      <c r="D268" s="13"/>
      <c r="E268" s="13"/>
      <c r="F268" s="13"/>
      <c r="G268" s="24"/>
      <c r="H268" s="24"/>
      <c r="I268" s="25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2.75" customHeight="1" x14ac:dyDescent="0.25">
      <c r="A269" s="23"/>
      <c r="B269" s="13"/>
      <c r="C269" s="13"/>
      <c r="D269" s="13"/>
      <c r="E269" s="13"/>
      <c r="F269" s="13"/>
      <c r="G269" s="24"/>
      <c r="H269" s="24"/>
      <c r="I269" s="25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2.75" customHeight="1" x14ac:dyDescent="0.25">
      <c r="A270" s="23"/>
      <c r="B270" s="13"/>
      <c r="C270" s="13"/>
      <c r="D270" s="13"/>
      <c r="E270" s="13"/>
      <c r="F270" s="13"/>
      <c r="G270" s="24"/>
      <c r="H270" s="24"/>
      <c r="I270" s="25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2.75" customHeight="1" x14ac:dyDescent="0.25">
      <c r="A271" s="23"/>
      <c r="B271" s="13"/>
      <c r="C271" s="13"/>
      <c r="D271" s="13"/>
      <c r="E271" s="13"/>
      <c r="F271" s="13"/>
      <c r="G271" s="24"/>
      <c r="H271" s="24"/>
      <c r="I271" s="25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2.75" customHeight="1" x14ac:dyDescent="0.25">
      <c r="A272" s="23"/>
      <c r="B272" s="13"/>
      <c r="C272" s="13"/>
      <c r="D272" s="13"/>
      <c r="E272" s="13"/>
      <c r="F272" s="13"/>
      <c r="G272" s="24"/>
      <c r="H272" s="24"/>
      <c r="I272" s="25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2.75" customHeight="1" x14ac:dyDescent="0.25">
      <c r="A273" s="23"/>
      <c r="B273" s="13"/>
      <c r="C273" s="13"/>
      <c r="D273" s="13"/>
      <c r="E273" s="13"/>
      <c r="F273" s="13"/>
      <c r="G273" s="24"/>
      <c r="H273" s="24"/>
      <c r="I273" s="25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2.75" customHeight="1" x14ac:dyDescent="0.25">
      <c r="A274" s="23"/>
      <c r="B274" s="13"/>
      <c r="C274" s="13"/>
      <c r="D274" s="13"/>
      <c r="E274" s="13"/>
      <c r="F274" s="13"/>
      <c r="G274" s="24"/>
      <c r="H274" s="24"/>
      <c r="I274" s="25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2.75" customHeight="1" x14ac:dyDescent="0.25">
      <c r="A275" s="23"/>
      <c r="B275" s="13"/>
      <c r="C275" s="13"/>
      <c r="D275" s="13"/>
      <c r="E275" s="13"/>
      <c r="F275" s="13"/>
      <c r="G275" s="24"/>
      <c r="H275" s="24"/>
      <c r="I275" s="25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2.75" customHeight="1" x14ac:dyDescent="0.25">
      <c r="A276" s="23"/>
      <c r="B276" s="13"/>
      <c r="C276" s="13"/>
      <c r="D276" s="13"/>
      <c r="E276" s="13"/>
      <c r="F276" s="13"/>
      <c r="G276" s="24"/>
      <c r="H276" s="24"/>
      <c r="I276" s="25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2.75" customHeight="1" x14ac:dyDescent="0.25">
      <c r="A277" s="23"/>
      <c r="B277" s="13"/>
      <c r="C277" s="13"/>
      <c r="D277" s="13"/>
      <c r="E277" s="13"/>
      <c r="F277" s="13"/>
      <c r="G277" s="24"/>
      <c r="H277" s="24"/>
      <c r="I277" s="25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2.75" customHeight="1" x14ac:dyDescent="0.25">
      <c r="A278" s="23"/>
      <c r="B278" s="13"/>
      <c r="C278" s="13"/>
      <c r="D278" s="13"/>
      <c r="E278" s="13"/>
      <c r="F278" s="13"/>
      <c r="G278" s="24"/>
      <c r="H278" s="24"/>
      <c r="I278" s="25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2.75" customHeight="1" x14ac:dyDescent="0.25">
      <c r="A279" s="23"/>
      <c r="B279" s="13"/>
      <c r="C279" s="13"/>
      <c r="D279" s="13"/>
      <c r="E279" s="13"/>
      <c r="F279" s="13"/>
      <c r="G279" s="24"/>
      <c r="H279" s="24"/>
      <c r="I279" s="25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2.75" customHeight="1" x14ac:dyDescent="0.25">
      <c r="A280" s="23"/>
      <c r="B280" s="13"/>
      <c r="C280" s="13"/>
      <c r="D280" s="13"/>
      <c r="E280" s="13"/>
      <c r="F280" s="13"/>
      <c r="G280" s="24"/>
      <c r="H280" s="24"/>
      <c r="I280" s="25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2.75" customHeight="1" x14ac:dyDescent="0.25">
      <c r="A281" s="23"/>
      <c r="B281" s="13"/>
      <c r="C281" s="13"/>
      <c r="D281" s="13"/>
      <c r="E281" s="13"/>
      <c r="F281" s="13"/>
      <c r="G281" s="24"/>
      <c r="H281" s="24"/>
      <c r="I281" s="25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2.75" customHeight="1" x14ac:dyDescent="0.25">
      <c r="A282" s="23"/>
      <c r="B282" s="13"/>
      <c r="C282" s="13"/>
      <c r="D282" s="13"/>
      <c r="E282" s="13"/>
      <c r="F282" s="13"/>
      <c r="G282" s="24"/>
      <c r="H282" s="24"/>
      <c r="I282" s="25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2.75" customHeight="1" x14ac:dyDescent="0.25">
      <c r="A283" s="23"/>
      <c r="B283" s="13"/>
      <c r="C283" s="13"/>
      <c r="D283" s="13"/>
      <c r="E283" s="13"/>
      <c r="F283" s="13"/>
      <c r="G283" s="24"/>
      <c r="H283" s="24"/>
      <c r="I283" s="25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2.75" customHeight="1" x14ac:dyDescent="0.25">
      <c r="A284" s="23"/>
      <c r="B284" s="13"/>
      <c r="C284" s="13"/>
      <c r="D284" s="13"/>
      <c r="E284" s="13"/>
      <c r="F284" s="13"/>
      <c r="G284" s="24"/>
      <c r="H284" s="24"/>
      <c r="I284" s="25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2.75" customHeight="1" x14ac:dyDescent="0.25">
      <c r="A285" s="23"/>
      <c r="B285" s="13"/>
      <c r="C285" s="13"/>
      <c r="D285" s="13"/>
      <c r="E285" s="13"/>
      <c r="F285" s="13"/>
      <c r="G285" s="24"/>
      <c r="H285" s="24"/>
      <c r="I285" s="25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2.75" customHeight="1" x14ac:dyDescent="0.25">
      <c r="A286" s="23"/>
      <c r="B286" s="13"/>
      <c r="C286" s="13"/>
      <c r="D286" s="13"/>
      <c r="E286" s="13"/>
      <c r="F286" s="13"/>
      <c r="G286" s="24"/>
      <c r="H286" s="24"/>
      <c r="I286" s="25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2.75" customHeight="1" x14ac:dyDescent="0.25">
      <c r="A287" s="23"/>
      <c r="B287" s="13"/>
      <c r="C287" s="13"/>
      <c r="D287" s="13"/>
      <c r="E287" s="13"/>
      <c r="F287" s="13"/>
      <c r="G287" s="24"/>
      <c r="H287" s="24"/>
      <c r="I287" s="25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2.75" customHeight="1" x14ac:dyDescent="0.25">
      <c r="A288" s="23"/>
      <c r="B288" s="13"/>
      <c r="C288" s="13"/>
      <c r="D288" s="13"/>
      <c r="E288" s="13"/>
      <c r="F288" s="13"/>
      <c r="G288" s="24"/>
      <c r="H288" s="24"/>
      <c r="I288" s="25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2.75" customHeight="1" x14ac:dyDescent="0.25">
      <c r="A289" s="23"/>
      <c r="B289" s="13"/>
      <c r="C289" s="13"/>
      <c r="D289" s="13"/>
      <c r="E289" s="13"/>
      <c r="F289" s="13"/>
      <c r="G289" s="24"/>
      <c r="H289" s="24"/>
      <c r="I289" s="25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2.75" customHeight="1" x14ac:dyDescent="0.25">
      <c r="A290" s="23"/>
      <c r="B290" s="13"/>
      <c r="C290" s="13"/>
      <c r="D290" s="13"/>
      <c r="E290" s="13"/>
      <c r="F290" s="13"/>
      <c r="G290" s="24"/>
      <c r="H290" s="24"/>
      <c r="I290" s="25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2.75" customHeight="1" x14ac:dyDescent="0.25">
      <c r="A291" s="23"/>
      <c r="B291" s="13"/>
      <c r="C291" s="13"/>
      <c r="D291" s="13"/>
      <c r="E291" s="13"/>
      <c r="F291" s="13"/>
      <c r="G291" s="24"/>
      <c r="H291" s="24"/>
      <c r="I291" s="25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2.75" customHeight="1" x14ac:dyDescent="0.25">
      <c r="A292" s="23"/>
      <c r="B292" s="13"/>
      <c r="C292" s="13"/>
      <c r="D292" s="13"/>
      <c r="E292" s="13"/>
      <c r="F292" s="13"/>
      <c r="G292" s="24"/>
      <c r="H292" s="24"/>
      <c r="I292" s="25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2.75" customHeight="1" x14ac:dyDescent="0.25">
      <c r="A293" s="23"/>
      <c r="B293" s="13"/>
      <c r="C293" s="13"/>
      <c r="D293" s="13"/>
      <c r="E293" s="13"/>
      <c r="F293" s="13"/>
      <c r="G293" s="24"/>
      <c r="H293" s="24"/>
      <c r="I293" s="25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2.75" customHeight="1" x14ac:dyDescent="0.25">
      <c r="A294" s="23"/>
      <c r="B294" s="13"/>
      <c r="C294" s="13"/>
      <c r="D294" s="13"/>
      <c r="E294" s="13"/>
      <c r="F294" s="13"/>
      <c r="G294" s="24"/>
      <c r="H294" s="24"/>
      <c r="I294" s="25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2.75" customHeight="1" x14ac:dyDescent="0.25">
      <c r="A295" s="23"/>
      <c r="B295" s="13"/>
      <c r="C295" s="13"/>
      <c r="D295" s="13"/>
      <c r="E295" s="13"/>
      <c r="F295" s="13"/>
      <c r="G295" s="24"/>
      <c r="H295" s="24"/>
      <c r="I295" s="25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2.75" customHeight="1" x14ac:dyDescent="0.25">
      <c r="A296" s="23"/>
      <c r="B296" s="13"/>
      <c r="C296" s="13"/>
      <c r="D296" s="13"/>
      <c r="E296" s="13"/>
      <c r="F296" s="13"/>
      <c r="G296" s="24"/>
      <c r="H296" s="24"/>
      <c r="I296" s="25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2.75" customHeight="1" x14ac:dyDescent="0.25">
      <c r="A297" s="23"/>
      <c r="B297" s="13"/>
      <c r="C297" s="13"/>
      <c r="D297" s="13"/>
      <c r="E297" s="13"/>
      <c r="F297" s="13"/>
      <c r="G297" s="24"/>
      <c r="H297" s="24"/>
      <c r="I297" s="25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2.75" customHeight="1" x14ac:dyDescent="0.25">
      <c r="A298" s="23"/>
      <c r="B298" s="13"/>
      <c r="C298" s="13"/>
      <c r="D298" s="13"/>
      <c r="E298" s="13"/>
      <c r="F298" s="13"/>
      <c r="G298" s="24"/>
      <c r="H298" s="24"/>
      <c r="I298" s="25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2.75" customHeight="1" x14ac:dyDescent="0.25">
      <c r="A299" s="23"/>
      <c r="B299" s="13"/>
      <c r="C299" s="13"/>
      <c r="D299" s="13"/>
      <c r="E299" s="13"/>
      <c r="F299" s="13"/>
      <c r="G299" s="24"/>
      <c r="H299" s="24"/>
      <c r="I299" s="25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2.75" customHeight="1" x14ac:dyDescent="0.25">
      <c r="A300" s="23"/>
      <c r="B300" s="13"/>
      <c r="C300" s="13"/>
      <c r="D300" s="13"/>
      <c r="E300" s="13"/>
      <c r="F300" s="13"/>
      <c r="G300" s="24"/>
      <c r="H300" s="24"/>
      <c r="I300" s="25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2.75" customHeight="1" x14ac:dyDescent="0.25">
      <c r="A301" s="23"/>
      <c r="B301" s="13"/>
      <c r="C301" s="13"/>
      <c r="D301" s="13"/>
      <c r="E301" s="13"/>
      <c r="F301" s="13"/>
      <c r="G301" s="24"/>
      <c r="H301" s="24"/>
      <c r="I301" s="25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2.75" customHeight="1" x14ac:dyDescent="0.25">
      <c r="A302" s="23"/>
      <c r="B302" s="13"/>
      <c r="C302" s="13"/>
      <c r="D302" s="13"/>
      <c r="E302" s="13"/>
      <c r="F302" s="13"/>
      <c r="G302" s="24"/>
      <c r="H302" s="24"/>
      <c r="I302" s="25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2.75" customHeight="1" x14ac:dyDescent="0.25">
      <c r="A303" s="23"/>
      <c r="B303" s="13"/>
      <c r="C303" s="13"/>
      <c r="D303" s="13"/>
      <c r="E303" s="13"/>
      <c r="F303" s="13"/>
      <c r="G303" s="24"/>
      <c r="H303" s="24"/>
      <c r="I303" s="25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2.75" customHeight="1" x14ac:dyDescent="0.25">
      <c r="A304" s="23"/>
      <c r="B304" s="13"/>
      <c r="C304" s="13"/>
      <c r="D304" s="13"/>
      <c r="E304" s="13"/>
      <c r="F304" s="13"/>
      <c r="G304" s="24"/>
      <c r="H304" s="24"/>
      <c r="I304" s="25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2.75" customHeight="1" x14ac:dyDescent="0.25">
      <c r="A305" s="23"/>
      <c r="B305" s="13"/>
      <c r="C305" s="13"/>
      <c r="D305" s="13"/>
      <c r="E305" s="13"/>
      <c r="F305" s="13"/>
      <c r="G305" s="24"/>
      <c r="H305" s="24"/>
      <c r="I305" s="25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2.75" customHeight="1" x14ac:dyDescent="0.25">
      <c r="A306" s="23"/>
      <c r="B306" s="13"/>
      <c r="C306" s="13"/>
      <c r="D306" s="13"/>
      <c r="E306" s="13"/>
      <c r="F306" s="13"/>
      <c r="G306" s="24"/>
      <c r="H306" s="24"/>
      <c r="I306" s="25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2.75" customHeight="1" x14ac:dyDescent="0.25">
      <c r="A307" s="23"/>
      <c r="B307" s="13"/>
      <c r="C307" s="13"/>
      <c r="D307" s="13"/>
      <c r="E307" s="13"/>
      <c r="F307" s="13"/>
      <c r="G307" s="24"/>
      <c r="H307" s="24"/>
      <c r="I307" s="25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2.75" customHeight="1" x14ac:dyDescent="0.25">
      <c r="A308" s="23"/>
      <c r="B308" s="13"/>
      <c r="C308" s="13"/>
      <c r="D308" s="13"/>
      <c r="E308" s="13"/>
      <c r="F308" s="13"/>
      <c r="G308" s="24"/>
      <c r="H308" s="24"/>
      <c r="I308" s="25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2.75" customHeight="1" x14ac:dyDescent="0.25">
      <c r="A309" s="23"/>
      <c r="B309" s="13"/>
      <c r="C309" s="13"/>
      <c r="D309" s="13"/>
      <c r="E309" s="13"/>
      <c r="F309" s="13"/>
      <c r="G309" s="24"/>
      <c r="H309" s="24"/>
      <c r="I309" s="25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2.75" customHeight="1" x14ac:dyDescent="0.25">
      <c r="A310" s="23"/>
      <c r="B310" s="13"/>
      <c r="C310" s="13"/>
      <c r="D310" s="13"/>
      <c r="E310" s="13"/>
      <c r="F310" s="13"/>
      <c r="G310" s="24"/>
      <c r="H310" s="24"/>
      <c r="I310" s="25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2.75" customHeight="1" x14ac:dyDescent="0.25">
      <c r="A311" s="23"/>
      <c r="B311" s="13"/>
      <c r="C311" s="13"/>
      <c r="D311" s="13"/>
      <c r="E311" s="13"/>
      <c r="F311" s="13"/>
      <c r="G311" s="24"/>
      <c r="H311" s="24"/>
      <c r="I311" s="25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2.75" customHeight="1" x14ac:dyDescent="0.25">
      <c r="A312" s="23"/>
      <c r="B312" s="13"/>
      <c r="C312" s="13"/>
      <c r="D312" s="13"/>
      <c r="E312" s="13"/>
      <c r="F312" s="13"/>
      <c r="G312" s="24"/>
      <c r="H312" s="24"/>
      <c r="I312" s="25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2.75" customHeight="1" x14ac:dyDescent="0.25">
      <c r="A313" s="23"/>
      <c r="B313" s="13"/>
      <c r="C313" s="13"/>
      <c r="D313" s="13"/>
      <c r="E313" s="13"/>
      <c r="F313" s="13"/>
      <c r="G313" s="24"/>
      <c r="H313" s="24"/>
      <c r="I313" s="25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2.75" customHeight="1" x14ac:dyDescent="0.25">
      <c r="A314" s="23"/>
      <c r="B314" s="13"/>
      <c r="C314" s="13"/>
      <c r="D314" s="13"/>
      <c r="E314" s="13"/>
      <c r="F314" s="13"/>
      <c r="G314" s="24"/>
      <c r="H314" s="24"/>
      <c r="I314" s="25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2.75" customHeight="1" x14ac:dyDescent="0.25">
      <c r="A315" s="23"/>
      <c r="B315" s="13"/>
      <c r="C315" s="13"/>
      <c r="D315" s="13"/>
      <c r="E315" s="13"/>
      <c r="F315" s="13"/>
      <c r="G315" s="24"/>
      <c r="H315" s="24"/>
      <c r="I315" s="25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2.75" customHeight="1" x14ac:dyDescent="0.25">
      <c r="A316" s="23"/>
      <c r="B316" s="13"/>
      <c r="C316" s="13"/>
      <c r="D316" s="13"/>
      <c r="E316" s="13"/>
      <c r="F316" s="13"/>
      <c r="G316" s="24"/>
      <c r="H316" s="24"/>
      <c r="I316" s="25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2.75" customHeight="1" x14ac:dyDescent="0.25">
      <c r="A317" s="23"/>
      <c r="B317" s="13"/>
      <c r="C317" s="13"/>
      <c r="D317" s="13"/>
      <c r="E317" s="13"/>
      <c r="F317" s="13"/>
      <c r="G317" s="24"/>
      <c r="H317" s="24"/>
      <c r="I317" s="25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2.75" customHeight="1" x14ac:dyDescent="0.25">
      <c r="A318" s="23"/>
      <c r="B318" s="13"/>
      <c r="C318" s="13"/>
      <c r="D318" s="13"/>
      <c r="E318" s="13"/>
      <c r="F318" s="13"/>
      <c r="G318" s="24"/>
      <c r="H318" s="24"/>
      <c r="I318" s="25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2.75" customHeight="1" x14ac:dyDescent="0.25">
      <c r="A319" s="23"/>
      <c r="B319" s="13"/>
      <c r="C319" s="13"/>
      <c r="D319" s="13"/>
      <c r="E319" s="13"/>
      <c r="F319" s="13"/>
      <c r="G319" s="24"/>
      <c r="H319" s="24"/>
      <c r="I319" s="25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2.75" customHeight="1" x14ac:dyDescent="0.25">
      <c r="A320" s="23"/>
      <c r="B320" s="13"/>
      <c r="C320" s="13"/>
      <c r="D320" s="13"/>
      <c r="E320" s="13"/>
      <c r="F320" s="13"/>
      <c r="G320" s="24"/>
      <c r="H320" s="24"/>
      <c r="I320" s="25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2.75" customHeight="1" x14ac:dyDescent="0.25">
      <c r="A321" s="23"/>
      <c r="B321" s="13"/>
      <c r="C321" s="13"/>
      <c r="D321" s="13"/>
      <c r="E321" s="13"/>
      <c r="F321" s="13"/>
      <c r="G321" s="24"/>
      <c r="H321" s="24"/>
      <c r="I321" s="25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2.75" customHeight="1" x14ac:dyDescent="0.25">
      <c r="A322" s="23"/>
      <c r="B322" s="13"/>
      <c r="C322" s="13"/>
      <c r="D322" s="13"/>
      <c r="E322" s="13"/>
      <c r="F322" s="13"/>
      <c r="G322" s="24"/>
      <c r="H322" s="24"/>
      <c r="I322" s="25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2.75" customHeight="1" x14ac:dyDescent="0.25">
      <c r="A323" s="23"/>
      <c r="B323" s="13"/>
      <c r="C323" s="13"/>
      <c r="D323" s="13"/>
      <c r="E323" s="13"/>
      <c r="F323" s="13"/>
      <c r="G323" s="24"/>
      <c r="H323" s="24"/>
      <c r="I323" s="25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2.75" customHeight="1" x14ac:dyDescent="0.25">
      <c r="A324" s="23"/>
      <c r="B324" s="13"/>
      <c r="C324" s="13"/>
      <c r="D324" s="13"/>
      <c r="E324" s="13"/>
      <c r="F324" s="13"/>
      <c r="G324" s="24"/>
      <c r="H324" s="24"/>
      <c r="I324" s="25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2.75" customHeight="1" x14ac:dyDescent="0.25">
      <c r="A325" s="23"/>
      <c r="B325" s="13"/>
      <c r="C325" s="13"/>
      <c r="D325" s="13"/>
      <c r="E325" s="13"/>
      <c r="F325" s="13"/>
      <c r="G325" s="24"/>
      <c r="H325" s="24"/>
      <c r="I325" s="25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2.75" customHeight="1" x14ac:dyDescent="0.25">
      <c r="A326" s="23"/>
      <c r="B326" s="13"/>
      <c r="C326" s="13"/>
      <c r="D326" s="13"/>
      <c r="E326" s="13"/>
      <c r="F326" s="13"/>
      <c r="G326" s="24"/>
      <c r="H326" s="24"/>
      <c r="I326" s="25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2.75" customHeight="1" x14ac:dyDescent="0.25">
      <c r="A327" s="23"/>
      <c r="B327" s="13"/>
      <c r="C327" s="13"/>
      <c r="D327" s="13"/>
      <c r="E327" s="13"/>
      <c r="F327" s="13"/>
      <c r="G327" s="24"/>
      <c r="H327" s="24"/>
      <c r="I327" s="25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2.75" customHeight="1" x14ac:dyDescent="0.25">
      <c r="A328" s="23"/>
      <c r="B328" s="13"/>
      <c r="C328" s="13"/>
      <c r="D328" s="13"/>
      <c r="E328" s="13"/>
      <c r="F328" s="13"/>
      <c r="G328" s="24"/>
      <c r="H328" s="24"/>
      <c r="I328" s="25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2.75" customHeight="1" x14ac:dyDescent="0.25">
      <c r="A329" s="23"/>
      <c r="B329" s="13"/>
      <c r="C329" s="13"/>
      <c r="D329" s="13"/>
      <c r="E329" s="13"/>
      <c r="F329" s="13"/>
      <c r="G329" s="24"/>
      <c r="H329" s="24"/>
      <c r="I329" s="25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2.75" customHeight="1" x14ac:dyDescent="0.25">
      <c r="A330" s="23"/>
      <c r="B330" s="13"/>
      <c r="C330" s="13"/>
      <c r="D330" s="13"/>
      <c r="E330" s="13"/>
      <c r="F330" s="13"/>
      <c r="G330" s="24"/>
      <c r="H330" s="24"/>
      <c r="I330" s="25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2.75" customHeight="1" x14ac:dyDescent="0.25">
      <c r="A331" s="23"/>
      <c r="B331" s="13"/>
      <c r="C331" s="13"/>
      <c r="D331" s="13"/>
      <c r="E331" s="13"/>
      <c r="F331" s="13"/>
      <c r="G331" s="24"/>
      <c r="H331" s="24"/>
      <c r="I331" s="25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2.75" customHeight="1" x14ac:dyDescent="0.25">
      <c r="A332" s="23"/>
      <c r="B332" s="13"/>
      <c r="C332" s="13"/>
      <c r="D332" s="13"/>
      <c r="E332" s="13"/>
      <c r="F332" s="13"/>
      <c r="G332" s="24"/>
      <c r="H332" s="24"/>
      <c r="I332" s="25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2.75" customHeight="1" x14ac:dyDescent="0.25">
      <c r="A333" s="23"/>
      <c r="B333" s="13"/>
      <c r="C333" s="13"/>
      <c r="D333" s="13"/>
      <c r="E333" s="13"/>
      <c r="F333" s="13"/>
      <c r="G333" s="24"/>
      <c r="H333" s="24"/>
      <c r="I333" s="25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2.75" customHeight="1" x14ac:dyDescent="0.25">
      <c r="A334" s="23"/>
      <c r="B334" s="13"/>
      <c r="C334" s="13"/>
      <c r="D334" s="13"/>
      <c r="E334" s="13"/>
      <c r="F334" s="13"/>
      <c r="G334" s="24"/>
      <c r="H334" s="24"/>
      <c r="I334" s="25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2.75" customHeight="1" x14ac:dyDescent="0.25">
      <c r="A335" s="23"/>
      <c r="B335" s="13"/>
      <c r="C335" s="13"/>
      <c r="D335" s="13"/>
      <c r="E335" s="13"/>
      <c r="F335" s="13"/>
      <c r="G335" s="24"/>
      <c r="H335" s="24"/>
      <c r="I335" s="25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2.75" customHeight="1" x14ac:dyDescent="0.25">
      <c r="A336" s="23"/>
      <c r="B336" s="13"/>
      <c r="C336" s="13"/>
      <c r="D336" s="13"/>
      <c r="E336" s="13"/>
      <c r="F336" s="13"/>
      <c r="G336" s="24"/>
      <c r="H336" s="24"/>
      <c r="I336" s="25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2.75" customHeight="1" x14ac:dyDescent="0.25">
      <c r="A337" s="23"/>
      <c r="B337" s="13"/>
      <c r="C337" s="13"/>
      <c r="D337" s="13"/>
      <c r="E337" s="13"/>
      <c r="F337" s="13"/>
      <c r="G337" s="24"/>
      <c r="H337" s="24"/>
      <c r="I337" s="25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2.75" customHeight="1" x14ac:dyDescent="0.25">
      <c r="A338" s="23"/>
      <c r="B338" s="13"/>
      <c r="C338" s="13"/>
      <c r="D338" s="13"/>
      <c r="E338" s="13"/>
      <c r="F338" s="13"/>
      <c r="G338" s="24"/>
      <c r="H338" s="24"/>
      <c r="I338" s="25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2.75" customHeight="1" x14ac:dyDescent="0.25">
      <c r="A339" s="23"/>
      <c r="B339" s="13"/>
      <c r="C339" s="13"/>
      <c r="D339" s="13"/>
      <c r="E339" s="13"/>
      <c r="F339" s="13"/>
      <c r="G339" s="24"/>
      <c r="H339" s="24"/>
      <c r="I339" s="25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2.75" customHeight="1" x14ac:dyDescent="0.25">
      <c r="A340" s="23"/>
      <c r="B340" s="13"/>
      <c r="C340" s="13"/>
      <c r="D340" s="13"/>
      <c r="E340" s="13"/>
      <c r="F340" s="13"/>
      <c r="G340" s="24"/>
      <c r="H340" s="24"/>
      <c r="I340" s="25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</sheetData>
  <autoFilter ref="A1:AB142" xr:uid="{00000000-0009-0000-0000-000000000000}">
    <sortState xmlns:xlrd2="http://schemas.microsoft.com/office/spreadsheetml/2017/richdata2" ref="A18:AB135">
      <sortCondition ref="E1:E142"/>
    </sortState>
  </autoFilter>
  <mergeCells count="1">
    <mergeCell ref="N151:P151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2026-04-19T04:16:56Z</dcterms:modified>
</cp:coreProperties>
</file>